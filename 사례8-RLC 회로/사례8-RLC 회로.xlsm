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60" windowWidth="18315" windowHeight="847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O6" i="1"/>
  <c r="M12" s="1"/>
  <c r="K10"/>
  <c r="C13"/>
  <c r="O11" s="1"/>
  <c r="M11"/>
  <c r="O12" l="1"/>
  <c r="K11"/>
  <c r="K12"/>
  <c r="K14" l="1"/>
</calcChain>
</file>

<file path=xl/sharedStrings.xml><?xml version="1.0" encoding="utf-8"?>
<sst xmlns="http://schemas.openxmlformats.org/spreadsheetml/2006/main" count="30" uniqueCount="28">
  <si>
    <t>f=</t>
    <phoneticPr fontId="1" type="noConversion"/>
  </si>
  <si>
    <t>w=</t>
    <phoneticPr fontId="1" type="noConversion"/>
  </si>
  <si>
    <t>rad/s</t>
    <phoneticPr fontId="1" type="noConversion"/>
  </si>
  <si>
    <t>Hz</t>
    <phoneticPr fontId="1" type="noConversion"/>
  </si>
  <si>
    <t>R=</t>
    <phoneticPr fontId="1" type="noConversion"/>
  </si>
  <si>
    <t>L=</t>
    <phoneticPr fontId="1" type="noConversion"/>
  </si>
  <si>
    <t>C=</t>
    <phoneticPr fontId="1" type="noConversion"/>
  </si>
  <si>
    <t>Ω</t>
    <phoneticPr fontId="1" type="noConversion"/>
  </si>
  <si>
    <t>mH</t>
    <phoneticPr fontId="1" type="noConversion"/>
  </si>
  <si>
    <t>㎌</t>
    <phoneticPr fontId="1" type="noConversion"/>
  </si>
  <si>
    <t>교류전원 AC Supply</t>
  </si>
  <si>
    <t>저항</t>
    <phoneticPr fontId="1" type="noConversion"/>
  </si>
  <si>
    <t>유도 리액턴스</t>
    <phoneticPr fontId="1" type="noConversion"/>
  </si>
  <si>
    <t>용량 리액턴스</t>
    <phoneticPr fontId="1" type="noConversion"/>
  </si>
  <si>
    <t>임피던스</t>
    <phoneticPr fontId="1" type="noConversion"/>
  </si>
  <si>
    <t>R=</t>
    <phoneticPr fontId="1" type="noConversion"/>
  </si>
  <si>
    <r>
      <t>X</t>
    </r>
    <r>
      <rPr>
        <sz val="8"/>
        <color theme="1"/>
        <rFont val="맑은 고딕"/>
        <family val="3"/>
        <charset val="129"/>
        <scheme val="minor"/>
      </rPr>
      <t>L</t>
    </r>
    <r>
      <rPr>
        <sz val="11"/>
        <color theme="1"/>
        <rFont val="맑은 고딕"/>
        <family val="3"/>
        <charset val="129"/>
        <scheme val="minor"/>
      </rPr>
      <t>=</t>
    </r>
    <phoneticPr fontId="1" type="noConversion"/>
  </si>
  <si>
    <t>×</t>
    <phoneticPr fontId="1" type="noConversion"/>
  </si>
  <si>
    <t>=</t>
    <phoneticPr fontId="1" type="noConversion"/>
  </si>
  <si>
    <t>Xc=</t>
    <phoneticPr fontId="1" type="noConversion"/>
  </si>
  <si>
    <t>1/(</t>
    <phoneticPr fontId="1" type="noConversion"/>
  </si>
  <si>
    <t>)=</t>
    <phoneticPr fontId="1" type="noConversion"/>
  </si>
  <si>
    <t>Z=</t>
    <phoneticPr fontId="1" type="noConversion"/>
  </si>
  <si>
    <r>
      <t>V</t>
    </r>
    <r>
      <rPr>
        <sz val="8"/>
        <color theme="1"/>
        <rFont val="맑은 고딕"/>
        <family val="3"/>
        <charset val="129"/>
        <scheme val="minor"/>
      </rPr>
      <t>R</t>
    </r>
    <phoneticPr fontId="1" type="noConversion"/>
  </si>
  <si>
    <r>
      <t>V</t>
    </r>
    <r>
      <rPr>
        <sz val="8"/>
        <color theme="1"/>
        <rFont val="맑은 고딕"/>
        <family val="3"/>
        <charset val="129"/>
        <scheme val="minor"/>
      </rPr>
      <t>C</t>
    </r>
    <phoneticPr fontId="1" type="noConversion"/>
  </si>
  <si>
    <r>
      <t>V</t>
    </r>
    <r>
      <rPr>
        <sz val="8"/>
        <color theme="1"/>
        <rFont val="맑은 고딕"/>
        <family val="3"/>
        <charset val="129"/>
        <scheme val="minor"/>
      </rPr>
      <t>L</t>
    </r>
    <phoneticPr fontId="1" type="noConversion"/>
  </si>
  <si>
    <r>
      <t>I</t>
    </r>
    <r>
      <rPr>
        <sz val="8"/>
        <color theme="1"/>
        <rFont val="맑은 고딕"/>
        <family val="3"/>
        <charset val="129"/>
        <scheme val="minor"/>
      </rPr>
      <t>max</t>
    </r>
    <phoneticPr fontId="1" type="noConversion"/>
  </si>
  <si>
    <r>
      <t>V</t>
    </r>
    <r>
      <rPr>
        <sz val="8"/>
        <color theme="1"/>
        <rFont val="맑은 고딕"/>
        <family val="3"/>
        <charset val="129"/>
        <scheme val="minor"/>
      </rPr>
      <t>max</t>
    </r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</si>
</sst>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176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  <colors>
    <mruColors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gif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gif"/><Relationship Id="rId5" Type="http://schemas.openxmlformats.org/officeDocument/2006/relationships/image" Target="../media/image5.emf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19034</xdr:colOff>
      <xdr:row>22</xdr:row>
      <xdr:rowOff>133349</xdr:rowOff>
    </xdr:from>
    <xdr:to>
      <xdr:col>4</xdr:col>
      <xdr:colOff>115336</xdr:colOff>
      <xdr:row>23</xdr:row>
      <xdr:rowOff>67799</xdr:rowOff>
    </xdr:to>
    <xdr:sp macro="" textlink="">
      <xdr:nvSpPr>
        <xdr:cNvPr id="38" name="오른쪽 화살표 37"/>
        <xdr:cNvSpPr/>
      </xdr:nvSpPr>
      <xdr:spPr>
        <a:xfrm flipV="1">
          <a:off x="1952609" y="4743449"/>
          <a:ext cx="782102" cy="14400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absolute">
    <xdr:from>
      <xdr:col>4</xdr:col>
      <xdr:colOff>219075</xdr:colOff>
      <xdr:row>2</xdr:row>
      <xdr:rowOff>209547</xdr:rowOff>
    </xdr:from>
    <xdr:to>
      <xdr:col>15</xdr:col>
      <xdr:colOff>447675</xdr:colOff>
      <xdr:row>15</xdr:row>
      <xdr:rowOff>142875</xdr:rowOff>
    </xdr:to>
    <xdr:grpSp>
      <xdr:nvGrpSpPr>
        <xdr:cNvPr id="51" name="그룹 50"/>
        <xdr:cNvGrpSpPr/>
      </xdr:nvGrpSpPr>
      <xdr:grpSpPr>
        <a:xfrm>
          <a:off x="2838450" y="628647"/>
          <a:ext cx="6800850" cy="2657478"/>
          <a:chOff x="2838450" y="628647"/>
          <a:chExt cx="6629400" cy="2657478"/>
        </a:xfrm>
      </xdr:grpSpPr>
      <xdr:cxnSp macro="">
        <xdr:nvCxnSpPr>
          <xdr:cNvPr id="3" name="직선 연결선 4"/>
          <xdr:cNvCxnSpPr/>
        </xdr:nvCxnSpPr>
        <xdr:spPr>
          <a:xfrm>
            <a:off x="2952750" y="638175"/>
            <a:ext cx="952500" cy="1"/>
          </a:xfrm>
          <a:prstGeom prst="line">
            <a:avLst/>
          </a:prstGeom>
          <a:ln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37" name="직선 연결선 5"/>
          <xdr:cNvCxnSpPr/>
        </xdr:nvCxnSpPr>
        <xdr:spPr>
          <a:xfrm>
            <a:off x="4924425" y="638175"/>
            <a:ext cx="1038225" cy="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직선 연결선 6"/>
          <xdr:cNvCxnSpPr/>
        </xdr:nvCxnSpPr>
        <xdr:spPr>
          <a:xfrm>
            <a:off x="7000875" y="638175"/>
            <a:ext cx="1162050" cy="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4" name="직선 연결선 93"/>
          <xdr:cNvCxnSpPr/>
        </xdr:nvCxnSpPr>
        <xdr:spPr>
          <a:xfrm rot="5400000">
            <a:off x="2433638" y="1157287"/>
            <a:ext cx="1038225" cy="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5" name="직선 연결선 94"/>
          <xdr:cNvCxnSpPr/>
        </xdr:nvCxnSpPr>
        <xdr:spPr>
          <a:xfrm rot="16200000" flipH="1">
            <a:off x="8120062" y="1947864"/>
            <a:ext cx="2647955" cy="9521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6" name="직선 연결선 95"/>
          <xdr:cNvCxnSpPr/>
        </xdr:nvCxnSpPr>
        <xdr:spPr>
          <a:xfrm>
            <a:off x="8410575" y="638175"/>
            <a:ext cx="1038225" cy="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grpSp>
        <xdr:nvGrpSpPr>
          <xdr:cNvPr id="102" name="그룹 101"/>
          <xdr:cNvGrpSpPr/>
        </xdr:nvGrpSpPr>
        <xdr:grpSpPr>
          <a:xfrm>
            <a:off x="2838451" y="1685926"/>
            <a:ext cx="209550" cy="209550"/>
            <a:chOff x="2362201" y="1676401"/>
            <a:chExt cx="209550" cy="209550"/>
          </a:xfrm>
        </xdr:grpSpPr>
        <xdr:sp macro="" textlink="">
          <xdr:nvSpPr>
            <xdr:cNvPr id="97" name="타원 96"/>
            <xdr:cNvSpPr/>
          </xdr:nvSpPr>
          <xdr:spPr>
            <a:xfrm>
              <a:off x="2362201" y="1676401"/>
              <a:ext cx="209550" cy="209550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ko-KR" altLang="en-US" sz="1100"/>
            </a:p>
          </xdr:txBody>
        </xdr:sp>
        <xdr:sp macro="" textlink="">
          <xdr:nvSpPr>
            <xdr:cNvPr id="101" name="자유형 100"/>
            <xdr:cNvSpPr/>
          </xdr:nvSpPr>
          <xdr:spPr>
            <a:xfrm>
              <a:off x="2409826" y="1733550"/>
              <a:ext cx="114300" cy="107949"/>
            </a:xfrm>
            <a:custGeom>
              <a:avLst/>
              <a:gdLst>
                <a:gd name="connsiteX0" fmla="*/ 0 w 495300"/>
                <a:gd name="connsiteY0" fmla="*/ 244475 h 485775"/>
                <a:gd name="connsiteX1" fmla="*/ 171450 w 495300"/>
                <a:gd name="connsiteY1" fmla="*/ 34925 h 485775"/>
                <a:gd name="connsiteX2" fmla="*/ 333375 w 495300"/>
                <a:gd name="connsiteY2" fmla="*/ 454025 h 485775"/>
                <a:gd name="connsiteX3" fmla="*/ 495300 w 495300"/>
                <a:gd name="connsiteY3" fmla="*/ 225425 h 485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495300" h="485775">
                  <a:moveTo>
                    <a:pt x="0" y="244475"/>
                  </a:moveTo>
                  <a:cubicBezTo>
                    <a:pt x="57944" y="122237"/>
                    <a:pt x="115888" y="0"/>
                    <a:pt x="171450" y="34925"/>
                  </a:cubicBezTo>
                  <a:cubicBezTo>
                    <a:pt x="227013" y="69850"/>
                    <a:pt x="279400" y="422275"/>
                    <a:pt x="333375" y="454025"/>
                  </a:cubicBezTo>
                  <a:cubicBezTo>
                    <a:pt x="387350" y="485775"/>
                    <a:pt x="463550" y="266700"/>
                    <a:pt x="495300" y="225425"/>
                  </a:cubicBezTo>
                </a:path>
              </a:pathLst>
            </a:cu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rtlCol="0" anchor="ctr"/>
            <a:lstStyle/>
            <a:p>
              <a:pPr algn="ctr"/>
              <a:endParaRPr lang="ko-KR" altLang="en-US" sz="1100"/>
            </a:p>
          </xdr:txBody>
        </xdr:sp>
      </xdr:grpSp>
      <xdr:grpSp>
        <xdr:nvGrpSpPr>
          <xdr:cNvPr id="103" name="그룹 102"/>
          <xdr:cNvGrpSpPr/>
        </xdr:nvGrpSpPr>
        <xdr:grpSpPr>
          <a:xfrm>
            <a:off x="2838450" y="2028825"/>
            <a:ext cx="209550" cy="209550"/>
            <a:chOff x="2362201" y="1676401"/>
            <a:chExt cx="209550" cy="209550"/>
          </a:xfrm>
        </xdr:grpSpPr>
        <xdr:sp macro="" textlink="">
          <xdr:nvSpPr>
            <xdr:cNvPr id="104" name="타원 103"/>
            <xdr:cNvSpPr/>
          </xdr:nvSpPr>
          <xdr:spPr>
            <a:xfrm>
              <a:off x="2362201" y="1676401"/>
              <a:ext cx="209550" cy="209550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ko-KR" altLang="en-US" sz="1100"/>
            </a:p>
          </xdr:txBody>
        </xdr:sp>
        <xdr:sp macro="" textlink="">
          <xdr:nvSpPr>
            <xdr:cNvPr id="105" name="자유형 104"/>
            <xdr:cNvSpPr/>
          </xdr:nvSpPr>
          <xdr:spPr>
            <a:xfrm>
              <a:off x="2409826" y="1733550"/>
              <a:ext cx="114300" cy="107949"/>
            </a:xfrm>
            <a:custGeom>
              <a:avLst/>
              <a:gdLst>
                <a:gd name="connsiteX0" fmla="*/ 0 w 495300"/>
                <a:gd name="connsiteY0" fmla="*/ 244475 h 485775"/>
                <a:gd name="connsiteX1" fmla="*/ 171450 w 495300"/>
                <a:gd name="connsiteY1" fmla="*/ 34925 h 485775"/>
                <a:gd name="connsiteX2" fmla="*/ 333375 w 495300"/>
                <a:gd name="connsiteY2" fmla="*/ 454025 h 485775"/>
                <a:gd name="connsiteX3" fmla="*/ 495300 w 495300"/>
                <a:gd name="connsiteY3" fmla="*/ 225425 h 485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495300" h="485775">
                  <a:moveTo>
                    <a:pt x="0" y="244475"/>
                  </a:moveTo>
                  <a:cubicBezTo>
                    <a:pt x="57944" y="122237"/>
                    <a:pt x="115888" y="0"/>
                    <a:pt x="171450" y="34925"/>
                  </a:cubicBezTo>
                  <a:cubicBezTo>
                    <a:pt x="227013" y="69850"/>
                    <a:pt x="279400" y="422275"/>
                    <a:pt x="333375" y="454025"/>
                  </a:cubicBezTo>
                  <a:cubicBezTo>
                    <a:pt x="387350" y="485775"/>
                    <a:pt x="463550" y="266700"/>
                    <a:pt x="495300" y="225425"/>
                  </a:cubicBezTo>
                </a:path>
              </a:pathLst>
            </a:cu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rtlCol="0" anchor="ctr"/>
            <a:lstStyle/>
            <a:p>
              <a:pPr algn="ctr"/>
              <a:endParaRPr lang="ko-KR" altLang="en-US" sz="1100"/>
            </a:p>
          </xdr:txBody>
        </xdr:sp>
      </xdr:grpSp>
      <xdr:cxnSp macro="">
        <xdr:nvCxnSpPr>
          <xdr:cNvPr id="106" name="직선 연결선 105"/>
          <xdr:cNvCxnSpPr/>
        </xdr:nvCxnSpPr>
        <xdr:spPr>
          <a:xfrm rot="5400000">
            <a:off x="2433638" y="2767013"/>
            <a:ext cx="1038225" cy="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직선 연결선 106"/>
          <xdr:cNvCxnSpPr/>
        </xdr:nvCxnSpPr>
        <xdr:spPr>
          <a:xfrm>
            <a:off x="2943225" y="3286125"/>
            <a:ext cx="6524625" cy="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5</xdr:col>
      <xdr:colOff>638174</xdr:colOff>
      <xdr:row>2</xdr:row>
      <xdr:rowOff>1</xdr:rowOff>
    </xdr:from>
    <xdr:to>
      <xdr:col>7</xdr:col>
      <xdr:colOff>295276</xdr:colOff>
      <xdr:row>4</xdr:row>
      <xdr:rowOff>9528</xdr:rowOff>
    </xdr:to>
    <xdr:grpSp>
      <xdr:nvGrpSpPr>
        <xdr:cNvPr id="33" name="그룹 1"/>
        <xdr:cNvGrpSpPr/>
      </xdr:nvGrpSpPr>
      <xdr:grpSpPr>
        <a:xfrm>
          <a:off x="3943349" y="419101"/>
          <a:ext cx="1028702" cy="428627"/>
          <a:chOff x="3895724" y="419101"/>
          <a:chExt cx="1028702" cy="428627"/>
        </a:xfrm>
      </xdr:grpSpPr>
      <xdr:cxnSp macro="">
        <xdr:nvCxnSpPr>
          <xdr:cNvPr id="8" name="직선 연결선 7"/>
          <xdr:cNvCxnSpPr/>
        </xdr:nvCxnSpPr>
        <xdr:spPr>
          <a:xfrm rot="5400000" flipH="1" flipV="1">
            <a:off x="3871912" y="461963"/>
            <a:ext cx="209550" cy="161925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" name="직선 연결선 9"/>
          <xdr:cNvCxnSpPr/>
        </xdr:nvCxnSpPr>
        <xdr:spPr>
          <a:xfrm rot="16200000" flipH="1">
            <a:off x="3929061" y="557210"/>
            <a:ext cx="419103" cy="161925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직선 연결선 13"/>
          <xdr:cNvCxnSpPr/>
        </xdr:nvCxnSpPr>
        <xdr:spPr>
          <a:xfrm rot="5400000" flipH="1" flipV="1">
            <a:off x="4119561" y="547689"/>
            <a:ext cx="419102" cy="180975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5" name="직선 연결선 14"/>
          <xdr:cNvCxnSpPr/>
        </xdr:nvCxnSpPr>
        <xdr:spPr>
          <a:xfrm rot="16200000" flipH="1">
            <a:off x="4310063" y="557212"/>
            <a:ext cx="409575" cy="17145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6" name="직선 연결선 15"/>
          <xdr:cNvCxnSpPr/>
        </xdr:nvCxnSpPr>
        <xdr:spPr>
          <a:xfrm rot="5400000" flipH="1" flipV="1">
            <a:off x="4467224" y="542927"/>
            <a:ext cx="428627" cy="180975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7" name="직선 연결선 16"/>
          <xdr:cNvCxnSpPr/>
        </xdr:nvCxnSpPr>
        <xdr:spPr>
          <a:xfrm rot="16200000" flipH="1">
            <a:off x="4752974" y="457201"/>
            <a:ext cx="190503" cy="1524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8</xdr:col>
      <xdr:colOff>695325</xdr:colOff>
      <xdr:row>1</xdr:row>
      <xdr:rowOff>85726</xdr:rowOff>
    </xdr:from>
    <xdr:to>
      <xdr:col>10</xdr:col>
      <xdr:colOff>466725</xdr:colOff>
      <xdr:row>4</xdr:row>
      <xdr:rowOff>142875</xdr:rowOff>
    </xdr:to>
    <xdr:grpSp>
      <xdr:nvGrpSpPr>
        <xdr:cNvPr id="86" name="그룹 2"/>
        <xdr:cNvGrpSpPr/>
      </xdr:nvGrpSpPr>
      <xdr:grpSpPr>
        <a:xfrm>
          <a:off x="6057900" y="295276"/>
          <a:ext cx="1057275" cy="685799"/>
          <a:chOff x="5657850" y="219075"/>
          <a:chExt cx="1000125" cy="828675"/>
        </a:xfrm>
      </xdr:grpSpPr>
      <xdr:sp macro="" textlink="">
        <xdr:nvSpPr>
          <xdr:cNvPr id="44" name="타원 43"/>
          <xdr:cNvSpPr/>
        </xdr:nvSpPr>
        <xdr:spPr>
          <a:xfrm>
            <a:off x="5657850" y="219075"/>
            <a:ext cx="247650" cy="819150"/>
          </a:xfrm>
          <a:prstGeom prst="ellipse">
            <a:avLst/>
          </a:prstGeom>
          <a:noFill/>
          <a:ln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100"/>
              <a:t>x</a:t>
            </a:r>
            <a:endParaRPr lang="ko-KR" altLang="en-US" sz="1100"/>
          </a:p>
        </xdr:txBody>
      </xdr:sp>
      <xdr:sp macro="" textlink="">
        <xdr:nvSpPr>
          <xdr:cNvPr id="45" name="타원 44"/>
          <xdr:cNvSpPr/>
        </xdr:nvSpPr>
        <xdr:spPr>
          <a:xfrm>
            <a:off x="5781675" y="219075"/>
            <a:ext cx="247650" cy="819150"/>
          </a:xfrm>
          <a:prstGeom prst="ellipse">
            <a:avLst/>
          </a:prstGeom>
          <a:noFill/>
          <a:ln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100"/>
              <a:t>x</a:t>
            </a:r>
            <a:endParaRPr lang="ko-KR" altLang="en-US" sz="1100"/>
          </a:p>
        </xdr:txBody>
      </xdr:sp>
      <xdr:sp macro="" textlink="">
        <xdr:nvSpPr>
          <xdr:cNvPr id="46" name="타원 45"/>
          <xdr:cNvSpPr/>
        </xdr:nvSpPr>
        <xdr:spPr>
          <a:xfrm>
            <a:off x="5943600" y="219075"/>
            <a:ext cx="247650" cy="819150"/>
          </a:xfrm>
          <a:prstGeom prst="ellipse">
            <a:avLst/>
          </a:prstGeom>
          <a:noFill/>
          <a:ln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100"/>
              <a:t>x</a:t>
            </a:r>
            <a:endParaRPr lang="ko-KR" altLang="en-US" sz="1100"/>
          </a:p>
        </xdr:txBody>
      </xdr:sp>
      <xdr:sp macro="" textlink="">
        <xdr:nvSpPr>
          <xdr:cNvPr id="47" name="타원 46"/>
          <xdr:cNvSpPr/>
        </xdr:nvSpPr>
        <xdr:spPr>
          <a:xfrm>
            <a:off x="6096000" y="219075"/>
            <a:ext cx="247650" cy="819150"/>
          </a:xfrm>
          <a:prstGeom prst="ellipse">
            <a:avLst/>
          </a:prstGeom>
          <a:noFill/>
          <a:ln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100"/>
              <a:t>x</a:t>
            </a:r>
            <a:endParaRPr lang="ko-KR" altLang="en-US" sz="1100"/>
          </a:p>
        </xdr:txBody>
      </xdr:sp>
      <xdr:sp macro="" textlink="">
        <xdr:nvSpPr>
          <xdr:cNvPr id="48" name="타원 47"/>
          <xdr:cNvSpPr/>
        </xdr:nvSpPr>
        <xdr:spPr>
          <a:xfrm>
            <a:off x="6248400" y="228600"/>
            <a:ext cx="247650" cy="819150"/>
          </a:xfrm>
          <a:prstGeom prst="ellipse">
            <a:avLst/>
          </a:prstGeom>
          <a:noFill/>
          <a:ln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100"/>
              <a:t>x</a:t>
            </a:r>
            <a:endParaRPr lang="ko-KR" altLang="en-US" sz="1100"/>
          </a:p>
        </xdr:txBody>
      </xdr:sp>
      <xdr:sp macro="" textlink="">
        <xdr:nvSpPr>
          <xdr:cNvPr id="49" name="타원 48"/>
          <xdr:cNvSpPr/>
        </xdr:nvSpPr>
        <xdr:spPr>
          <a:xfrm>
            <a:off x="6410325" y="228600"/>
            <a:ext cx="247650" cy="819150"/>
          </a:xfrm>
          <a:prstGeom prst="ellipse">
            <a:avLst/>
          </a:prstGeom>
          <a:noFill/>
          <a:ln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100"/>
              <a:t>x</a:t>
            </a:r>
            <a:endParaRPr lang="ko-KR" altLang="en-US" sz="1100"/>
          </a:p>
        </xdr:txBody>
      </xdr:sp>
    </xdr:grpSp>
    <xdr:clientData/>
  </xdr:twoCellAnchor>
  <xdr:twoCellAnchor editAs="absolute">
    <xdr:from>
      <xdr:col>13</xdr:col>
      <xdr:colOff>104776</xdr:colOff>
      <xdr:row>1</xdr:row>
      <xdr:rowOff>104776</xdr:rowOff>
    </xdr:from>
    <xdr:to>
      <xdr:col>14</xdr:col>
      <xdr:colOff>19050</xdr:colOff>
      <xdr:row>4</xdr:row>
      <xdr:rowOff>133351</xdr:rowOff>
    </xdr:to>
    <xdr:grpSp>
      <xdr:nvGrpSpPr>
        <xdr:cNvPr id="32" name="그룹 3"/>
        <xdr:cNvGrpSpPr/>
      </xdr:nvGrpSpPr>
      <xdr:grpSpPr>
        <a:xfrm>
          <a:off x="8315326" y="314326"/>
          <a:ext cx="228599" cy="657225"/>
          <a:chOff x="8181976" y="314326"/>
          <a:chExt cx="219075" cy="657225"/>
        </a:xfrm>
      </xdr:grpSpPr>
      <xdr:cxnSp macro="">
        <xdr:nvCxnSpPr>
          <xdr:cNvPr id="57" name="직선 연결선 56"/>
          <xdr:cNvCxnSpPr/>
        </xdr:nvCxnSpPr>
        <xdr:spPr>
          <a:xfrm rot="5400000">
            <a:off x="7853363" y="642939"/>
            <a:ext cx="657225" cy="0"/>
          </a:xfrm>
          <a:prstGeom prst="line">
            <a:avLst/>
          </a:prstGeom>
          <a:ln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직선 연결선 57"/>
          <xdr:cNvCxnSpPr/>
        </xdr:nvCxnSpPr>
        <xdr:spPr>
          <a:xfrm rot="5400000">
            <a:off x="8072438" y="642939"/>
            <a:ext cx="657225" cy="0"/>
          </a:xfrm>
          <a:prstGeom prst="line">
            <a:avLst/>
          </a:prstGeom>
          <a:ln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5</xdr:col>
      <xdr:colOff>600075</xdr:colOff>
      <xdr:row>3</xdr:row>
      <xdr:rowOff>9525</xdr:rowOff>
    </xdr:from>
    <xdr:to>
      <xdr:col>7</xdr:col>
      <xdr:colOff>314325</xdr:colOff>
      <xdr:row>3</xdr:row>
      <xdr:rowOff>9525</xdr:rowOff>
    </xdr:to>
    <xdr:cxnSp macro="">
      <xdr:nvCxnSpPr>
        <xdr:cNvPr id="36" name="직선 연결선 1" hidden="1"/>
        <xdr:cNvCxnSpPr/>
      </xdr:nvCxnSpPr>
      <xdr:spPr>
        <a:xfrm>
          <a:off x="3905250" y="638175"/>
          <a:ext cx="1085850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676275</xdr:colOff>
      <xdr:row>3</xdr:row>
      <xdr:rowOff>9525</xdr:rowOff>
    </xdr:from>
    <xdr:to>
      <xdr:col>10</xdr:col>
      <xdr:colOff>476250</xdr:colOff>
      <xdr:row>3</xdr:row>
      <xdr:rowOff>9525</xdr:rowOff>
    </xdr:to>
    <xdr:cxnSp macro="">
      <xdr:nvCxnSpPr>
        <xdr:cNvPr id="40" name="직선 연결선 2" hidden="1"/>
        <xdr:cNvCxnSpPr/>
      </xdr:nvCxnSpPr>
      <xdr:spPr>
        <a:xfrm>
          <a:off x="6038850" y="638175"/>
          <a:ext cx="1085850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85725</xdr:colOff>
      <xdr:row>3</xdr:row>
      <xdr:rowOff>9525</xdr:rowOff>
    </xdr:from>
    <xdr:to>
      <xdr:col>14</xdr:col>
      <xdr:colOff>66675</xdr:colOff>
      <xdr:row>3</xdr:row>
      <xdr:rowOff>9525</xdr:rowOff>
    </xdr:to>
    <xdr:cxnSp macro="">
      <xdr:nvCxnSpPr>
        <xdr:cNvPr id="41" name="직선 연결선 3" hidden="1"/>
        <xdr:cNvCxnSpPr/>
      </xdr:nvCxnSpPr>
      <xdr:spPr>
        <a:xfrm>
          <a:off x="8296275" y="638175"/>
          <a:ext cx="295275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5515</xdr:colOff>
      <xdr:row>14</xdr:row>
      <xdr:rowOff>5756</xdr:rowOff>
    </xdr:from>
    <xdr:to>
      <xdr:col>15</xdr:col>
      <xdr:colOff>276225</xdr:colOff>
      <xdr:row>15</xdr:row>
      <xdr:rowOff>57150</xdr:rowOff>
    </xdr:to>
    <xdr:pic>
      <xdr:nvPicPr>
        <xdr:cNvPr id="1031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58840" y="2939456"/>
          <a:ext cx="1909010" cy="260944"/>
        </a:xfrm>
        <a:prstGeom prst="rect">
          <a:avLst/>
        </a:prstGeom>
        <a:noFill/>
      </xdr:spPr>
    </xdr:pic>
    <xdr:clientData/>
  </xdr:twoCellAnchor>
  <xdr:twoCellAnchor>
    <xdr:from>
      <xdr:col>2</xdr:col>
      <xdr:colOff>558556</xdr:colOff>
      <xdr:row>8</xdr:row>
      <xdr:rowOff>18849</xdr:rowOff>
    </xdr:from>
    <xdr:to>
      <xdr:col>3</xdr:col>
      <xdr:colOff>68581</xdr:colOff>
      <xdr:row>22</xdr:row>
      <xdr:rowOff>186981</xdr:rowOff>
    </xdr:to>
    <xdr:sp macro="" textlink="">
      <xdr:nvSpPr>
        <xdr:cNvPr id="42" name="오른쪽 화살표 41"/>
        <xdr:cNvSpPr/>
      </xdr:nvSpPr>
      <xdr:spPr>
        <a:xfrm rot="16200000">
          <a:off x="415240" y="3210165"/>
          <a:ext cx="3101832" cy="72000"/>
        </a:xfrm>
        <a:prstGeom prst="rightArrow">
          <a:avLst/>
        </a:prstGeom>
        <a:solidFill>
          <a:srgbClr val="33CC33"/>
        </a:solidFill>
        <a:ln>
          <a:solidFill>
            <a:srgbClr val="33CC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558028</xdr:colOff>
      <xdr:row>23</xdr:row>
      <xdr:rowOff>13523</xdr:rowOff>
    </xdr:from>
    <xdr:to>
      <xdr:col>3</xdr:col>
      <xdr:colOff>68053</xdr:colOff>
      <xdr:row>35</xdr:row>
      <xdr:rowOff>188740</xdr:rowOff>
    </xdr:to>
    <xdr:sp macro="" textlink="">
      <xdr:nvSpPr>
        <xdr:cNvPr id="43" name="오른쪽 화살표 42"/>
        <xdr:cNvSpPr/>
      </xdr:nvSpPr>
      <xdr:spPr>
        <a:xfrm rot="5400000">
          <a:off x="620719" y="6142082"/>
          <a:ext cx="2689817" cy="72000"/>
        </a:xfrm>
        <a:prstGeom prst="rightArrow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807152</xdr:colOff>
      <xdr:row>22</xdr:row>
      <xdr:rowOff>172890</xdr:rowOff>
    </xdr:from>
    <xdr:to>
      <xdr:col>10</xdr:col>
      <xdr:colOff>3874</xdr:colOff>
      <xdr:row>23</xdr:row>
      <xdr:rowOff>35340</xdr:rowOff>
    </xdr:to>
    <xdr:sp macro="" textlink="">
      <xdr:nvSpPr>
        <xdr:cNvPr id="53" name="오른쪽 화살표 52"/>
        <xdr:cNvSpPr/>
      </xdr:nvSpPr>
      <xdr:spPr>
        <a:xfrm rot="-1136408">
          <a:off x="4112327" y="4782990"/>
          <a:ext cx="2539997" cy="72000"/>
        </a:xfrm>
        <a:prstGeom prst="right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5</xdr:col>
      <xdr:colOff>342900</xdr:colOff>
      <xdr:row>17</xdr:row>
      <xdr:rowOff>0</xdr:rowOff>
    </xdr:from>
    <xdr:to>
      <xdr:col>7</xdr:col>
      <xdr:colOff>628650</xdr:colOff>
      <xdr:row>32</xdr:row>
      <xdr:rowOff>161925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r="3867"/>
        <a:stretch>
          <a:fillRect/>
        </a:stretch>
      </xdr:blipFill>
      <xdr:spPr bwMode="auto">
        <a:xfrm>
          <a:off x="3648075" y="3562350"/>
          <a:ext cx="1657350" cy="330517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16</xdr:row>
      <xdr:rowOff>9525</xdr:rowOff>
    </xdr:from>
    <xdr:to>
      <xdr:col>9</xdr:col>
      <xdr:colOff>9525</xdr:colOff>
      <xdr:row>23</xdr:row>
      <xdr:rowOff>0</xdr:rowOff>
    </xdr:to>
    <xdr:pic>
      <xdr:nvPicPr>
        <xdr:cNvPr id="2" name="Picture 10" hidden="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b="1290"/>
        <a:stretch>
          <a:fillRect/>
        </a:stretch>
      </xdr:blipFill>
      <xdr:spPr bwMode="auto">
        <a:xfrm>
          <a:off x="4676775" y="3362325"/>
          <a:ext cx="1562100" cy="145732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9</xdr:col>
      <xdr:colOff>9525</xdr:colOff>
      <xdr:row>31</xdr:row>
      <xdr:rowOff>190500</xdr:rowOff>
    </xdr:to>
    <xdr:pic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676775" y="4819650"/>
          <a:ext cx="1562100" cy="1866900"/>
        </a:xfrm>
        <a:prstGeom prst="rect">
          <a:avLst/>
        </a:prstGeom>
        <a:noFill/>
      </xdr:spPr>
    </xdr:pic>
    <xdr:clientData/>
  </xdr:twoCellAnchor>
  <xdr:twoCellAnchor>
    <xdr:from>
      <xdr:col>8</xdr:col>
      <xdr:colOff>19034</xdr:colOff>
      <xdr:row>22</xdr:row>
      <xdr:rowOff>133349</xdr:rowOff>
    </xdr:from>
    <xdr:to>
      <xdr:col>8</xdr:col>
      <xdr:colOff>801136</xdr:colOff>
      <xdr:row>23</xdr:row>
      <xdr:rowOff>67799</xdr:rowOff>
    </xdr:to>
    <xdr:sp macro="" textlink="">
      <xdr:nvSpPr>
        <xdr:cNvPr id="50" name="오른쪽 화살표 49"/>
        <xdr:cNvSpPr/>
      </xdr:nvSpPr>
      <xdr:spPr>
        <a:xfrm flipV="1">
          <a:off x="5381609" y="4743449"/>
          <a:ext cx="782102" cy="14400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76215</xdr:colOff>
      <xdr:row>22</xdr:row>
      <xdr:rowOff>174625</xdr:rowOff>
    </xdr:from>
    <xdr:to>
      <xdr:col>4</xdr:col>
      <xdr:colOff>591723</xdr:colOff>
      <xdr:row>23</xdr:row>
      <xdr:rowOff>37075</xdr:rowOff>
    </xdr:to>
    <xdr:sp macro="" textlink="">
      <xdr:nvSpPr>
        <xdr:cNvPr id="39" name="오른쪽 화살표 38"/>
        <xdr:cNvSpPr/>
      </xdr:nvSpPr>
      <xdr:spPr>
        <a:xfrm>
          <a:off x="2009790" y="4784725"/>
          <a:ext cx="1201308" cy="720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133351</xdr:colOff>
      <xdr:row>18</xdr:row>
      <xdr:rowOff>47624</xdr:rowOff>
    </xdr:from>
    <xdr:to>
      <xdr:col>1</xdr:col>
      <xdr:colOff>533401</xdr:colOff>
      <xdr:row>18</xdr:row>
      <xdr:rowOff>155624</xdr:rowOff>
    </xdr:to>
    <xdr:sp macro="" textlink="">
      <xdr:nvSpPr>
        <xdr:cNvPr id="52" name="오른쪽 화살표 51"/>
        <xdr:cNvSpPr/>
      </xdr:nvSpPr>
      <xdr:spPr>
        <a:xfrm>
          <a:off x="819151" y="3819524"/>
          <a:ext cx="400050" cy="1080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123826</xdr:colOff>
      <xdr:row>20</xdr:row>
      <xdr:rowOff>57149</xdr:rowOff>
    </xdr:from>
    <xdr:to>
      <xdr:col>1</xdr:col>
      <xdr:colOff>523876</xdr:colOff>
      <xdr:row>20</xdr:row>
      <xdr:rowOff>165149</xdr:rowOff>
    </xdr:to>
    <xdr:sp macro="" textlink="">
      <xdr:nvSpPr>
        <xdr:cNvPr id="54" name="오른쪽 화살표 53"/>
        <xdr:cNvSpPr/>
      </xdr:nvSpPr>
      <xdr:spPr>
        <a:xfrm>
          <a:off x="809626" y="4248149"/>
          <a:ext cx="400050" cy="108000"/>
        </a:xfrm>
        <a:prstGeom prst="rightArrow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123826</xdr:colOff>
      <xdr:row>22</xdr:row>
      <xdr:rowOff>47624</xdr:rowOff>
    </xdr:from>
    <xdr:to>
      <xdr:col>1</xdr:col>
      <xdr:colOff>523876</xdr:colOff>
      <xdr:row>22</xdr:row>
      <xdr:rowOff>155624</xdr:rowOff>
    </xdr:to>
    <xdr:sp macro="" textlink="">
      <xdr:nvSpPr>
        <xdr:cNvPr id="56" name="오른쪽 화살표 55"/>
        <xdr:cNvSpPr/>
      </xdr:nvSpPr>
      <xdr:spPr>
        <a:xfrm>
          <a:off x="809626" y="4657724"/>
          <a:ext cx="400050" cy="108000"/>
        </a:xfrm>
        <a:prstGeom prst="rightArrow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123826</xdr:colOff>
      <xdr:row>24</xdr:row>
      <xdr:rowOff>47624</xdr:rowOff>
    </xdr:from>
    <xdr:to>
      <xdr:col>1</xdr:col>
      <xdr:colOff>523876</xdr:colOff>
      <xdr:row>24</xdr:row>
      <xdr:rowOff>155624</xdr:rowOff>
    </xdr:to>
    <xdr:sp macro="" textlink="">
      <xdr:nvSpPr>
        <xdr:cNvPr id="59" name="오른쪽 화살표 58"/>
        <xdr:cNvSpPr/>
      </xdr:nvSpPr>
      <xdr:spPr>
        <a:xfrm>
          <a:off x="809626" y="5076824"/>
          <a:ext cx="400050" cy="108000"/>
        </a:xfrm>
        <a:prstGeom prst="righ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419101</xdr:colOff>
      <xdr:row>19</xdr:row>
      <xdr:rowOff>47624</xdr:rowOff>
    </xdr:from>
    <xdr:to>
      <xdr:col>11</xdr:col>
      <xdr:colOff>133351</xdr:colOff>
      <xdr:row>19</xdr:row>
      <xdr:rowOff>155624</xdr:rowOff>
    </xdr:to>
    <xdr:sp macro="" textlink="">
      <xdr:nvSpPr>
        <xdr:cNvPr id="60" name="오른쪽 화살표 59"/>
        <xdr:cNvSpPr/>
      </xdr:nvSpPr>
      <xdr:spPr>
        <a:xfrm>
          <a:off x="7067551" y="4029074"/>
          <a:ext cx="400050" cy="108000"/>
        </a:xfrm>
        <a:prstGeom prst="rightArrow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409576</xdr:colOff>
      <xdr:row>21</xdr:row>
      <xdr:rowOff>57149</xdr:rowOff>
    </xdr:from>
    <xdr:to>
      <xdr:col>11</xdr:col>
      <xdr:colOff>123826</xdr:colOff>
      <xdr:row>21</xdr:row>
      <xdr:rowOff>165149</xdr:rowOff>
    </xdr:to>
    <xdr:sp macro="" textlink="">
      <xdr:nvSpPr>
        <xdr:cNvPr id="61" name="오른쪽 화살표 60"/>
        <xdr:cNvSpPr/>
      </xdr:nvSpPr>
      <xdr:spPr>
        <a:xfrm>
          <a:off x="7058026" y="4457699"/>
          <a:ext cx="400050" cy="108000"/>
        </a:xfrm>
        <a:prstGeom prst="righ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13</xdr:col>
      <xdr:colOff>19051</xdr:colOff>
      <xdr:row>18</xdr:row>
      <xdr:rowOff>198288</xdr:rowOff>
    </xdr:from>
    <xdr:to>
      <xdr:col>16</xdr:col>
      <xdr:colOff>458618</xdr:colOff>
      <xdr:row>20</xdr:row>
      <xdr:rowOff>41988</xdr:rowOff>
    </xdr:to>
    <xdr:pic>
      <xdr:nvPicPr>
        <xdr:cNvPr id="1039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8229601" y="3970188"/>
          <a:ext cx="2106442" cy="262800"/>
        </a:xfrm>
        <a:prstGeom prst="rect">
          <a:avLst/>
        </a:prstGeom>
        <a:noFill/>
      </xdr:spPr>
    </xdr:pic>
    <xdr:clientData/>
  </xdr:twoCellAnchor>
  <xdr:twoCellAnchor>
    <xdr:from>
      <xdr:col>10</xdr:col>
      <xdr:colOff>361950</xdr:colOff>
      <xdr:row>24</xdr:row>
      <xdr:rowOff>9525</xdr:rowOff>
    </xdr:from>
    <xdr:to>
      <xdr:col>13</xdr:col>
      <xdr:colOff>247609</xdr:colOff>
      <xdr:row>26</xdr:row>
      <xdr:rowOff>130425</xdr:rowOff>
    </xdr:to>
    <xdr:pic>
      <xdr:nvPicPr>
        <xdr:cNvPr id="5" name="_x103160632" descr="DRW000002f04c5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010400" y="5038725"/>
          <a:ext cx="1447759" cy="540000"/>
        </a:xfrm>
        <a:prstGeom prst="rect">
          <a:avLst/>
        </a:prstGeom>
        <a:noFill/>
      </xdr:spPr>
    </xdr:pic>
    <xdr:clientData/>
  </xdr:twoCellAnchor>
  <xdr:twoCellAnchor>
    <xdr:from>
      <xdr:col>14</xdr:col>
      <xdr:colOff>190500</xdr:colOff>
      <xdr:row>24</xdr:row>
      <xdr:rowOff>9525</xdr:rowOff>
    </xdr:from>
    <xdr:to>
      <xdr:col>16</xdr:col>
      <xdr:colOff>392950</xdr:colOff>
      <xdr:row>26</xdr:row>
      <xdr:rowOff>130425</xdr:rowOff>
    </xdr:to>
    <xdr:pic>
      <xdr:nvPicPr>
        <xdr:cNvPr id="1033" name="_x103160952" descr="DRW000002f04c59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8715375" y="5038725"/>
          <a:ext cx="1555000" cy="5400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6:P25"/>
  <sheetViews>
    <sheetView tabSelected="1" topLeftCell="E10" workbookViewId="0">
      <selection activeCell="S27" sqref="S27"/>
    </sheetView>
  </sheetViews>
  <sheetFormatPr defaultRowHeight="16.5"/>
  <cols>
    <col min="3" max="3" width="7.375" customWidth="1"/>
    <col min="6" max="6" width="11.375" customWidth="1"/>
    <col min="7" max="7" width="6.625" customWidth="1"/>
    <col min="9" max="9" width="11.375" customWidth="1"/>
    <col min="10" max="10" width="5.5" bestFit="1" customWidth="1"/>
    <col min="11" max="11" width="9" customWidth="1"/>
    <col min="12" max="12" width="2.875" bestFit="1" customWidth="1"/>
    <col min="13" max="13" width="8.625" customWidth="1"/>
    <col min="14" max="14" width="4.125" bestFit="1" customWidth="1"/>
    <col min="15" max="15" width="8.75" customWidth="1"/>
  </cols>
  <sheetData>
    <row r="6" spans="2:16">
      <c r="F6" s="1" t="s">
        <v>4</v>
      </c>
      <c r="G6">
        <v>768</v>
      </c>
      <c r="H6" t="s">
        <v>7</v>
      </c>
      <c r="I6" s="1" t="s">
        <v>5</v>
      </c>
      <c r="J6">
        <v>341</v>
      </c>
      <c r="K6" t="s">
        <v>8</v>
      </c>
      <c r="N6" s="1" t="s">
        <v>6</v>
      </c>
      <c r="O6">
        <f>IF(O8&lt;1000, O8/10, "")</f>
        <v>0.1</v>
      </c>
      <c r="P6" t="s">
        <v>9</v>
      </c>
    </row>
    <row r="8" spans="2:16">
      <c r="B8" t="s">
        <v>10</v>
      </c>
      <c r="O8">
        <v>1</v>
      </c>
    </row>
    <row r="10" spans="2:16">
      <c r="G10" t="s">
        <v>11</v>
      </c>
      <c r="I10" s="1" t="s">
        <v>15</v>
      </c>
      <c r="K10" s="3">
        <f>G6</f>
        <v>768</v>
      </c>
    </row>
    <row r="11" spans="2:16">
      <c r="G11" t="s">
        <v>12</v>
      </c>
      <c r="I11" s="1" t="s">
        <v>16</v>
      </c>
      <c r="K11" s="3">
        <f>C13</f>
        <v>5815.2800000000007</v>
      </c>
      <c r="L11" s="3" t="s">
        <v>17</v>
      </c>
      <c r="M11" s="3">
        <f>J6/1000</f>
        <v>0.34100000000000003</v>
      </c>
      <c r="N11" s="3" t="s">
        <v>18</v>
      </c>
      <c r="O11" s="5">
        <f>C13 * J6/1000</f>
        <v>1983.0104800000001</v>
      </c>
    </row>
    <row r="12" spans="2:16">
      <c r="B12" s="1" t="s">
        <v>0</v>
      </c>
      <c r="C12" s="2">
        <v>926</v>
      </c>
      <c r="D12" t="s">
        <v>3</v>
      </c>
      <c r="G12" t="s">
        <v>13</v>
      </c>
      <c r="I12" s="1" t="s">
        <v>19</v>
      </c>
      <c r="J12" s="3" t="s">
        <v>20</v>
      </c>
      <c r="K12" s="4">
        <f>C13</f>
        <v>5815.2800000000007</v>
      </c>
      <c r="L12" s="3" t="s">
        <v>17</v>
      </c>
      <c r="M12" s="3">
        <f>IF(O8&lt;1000, O6*(10^(-6)), "")</f>
        <v>9.9999999999999995E-8</v>
      </c>
      <c r="N12" s="3" t="s">
        <v>21</v>
      </c>
      <c r="O12" s="5">
        <f>IF(O8&lt;1000, 1/(C13*O6*10^(-6)), 0)</f>
        <v>1719.6076543175907</v>
      </c>
    </row>
    <row r="13" spans="2:16">
      <c r="B13" s="1" t="s">
        <v>1</v>
      </c>
      <c r="C13" s="2">
        <f>2*3.14*C12</f>
        <v>5815.2800000000007</v>
      </c>
      <c r="D13" t="s">
        <v>2</v>
      </c>
    </row>
    <row r="14" spans="2:16">
      <c r="G14" t="s">
        <v>14</v>
      </c>
      <c r="I14" s="7"/>
      <c r="J14" s="1" t="s">
        <v>22</v>
      </c>
      <c r="K14" s="8">
        <f>((K10^2)+(O11-O12)^2)^0.5</f>
        <v>811.91443427092599</v>
      </c>
      <c r="L14" s="6"/>
    </row>
    <row r="19" spans="3:13">
      <c r="C19" s="2" t="s">
        <v>23</v>
      </c>
    </row>
    <row r="20" spans="3:13">
      <c r="M20" t="s">
        <v>27</v>
      </c>
    </row>
    <row r="21" spans="3:13">
      <c r="C21" s="2" t="s">
        <v>25</v>
      </c>
    </row>
    <row r="22" spans="3:13">
      <c r="M22" t="s">
        <v>26</v>
      </c>
    </row>
    <row r="23" spans="3:13">
      <c r="C23" t="s">
        <v>24</v>
      </c>
    </row>
    <row r="25" spans="3:13">
      <c r="C25" t="s">
        <v>26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control shapeId="1030" r:id="rId4" name="ScrollBar4"/>
    <control shapeId="1029" r:id="rId5" name="ScrollBar3"/>
    <control shapeId="1028" r:id="rId6" name="ScrollBar2"/>
    <control shapeId="1026" r:id="rId7" name="ScrollB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^^</dc:creator>
  <cp:lastModifiedBy>^^</cp:lastModifiedBy>
  <dcterms:created xsi:type="dcterms:W3CDTF">2011-03-24T05:48:55Z</dcterms:created>
  <dcterms:modified xsi:type="dcterms:W3CDTF">2011-06-08T09:38:55Z</dcterms:modified>
</cp:coreProperties>
</file>
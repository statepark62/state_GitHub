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75" windowWidth="19320" windowHeight="11730" activeTab="1"/>
  </bookViews>
  <sheets>
    <sheet name="질량과 저항에 따른 진자의 진동 변화" sheetId="1" r:id="rId1"/>
    <sheet name="실의 길이와 저항에 따른 진자의 진동 변화" sheetId="2" r:id="rId2"/>
  </sheets>
  <calcPr calcId="124519"/>
</workbook>
</file>

<file path=xl/calcChain.xml><?xml version="1.0" encoding="utf-8"?>
<calcChain xmlns="http://schemas.openxmlformats.org/spreadsheetml/2006/main">
  <c r="D16" i="2"/>
  <c r="D14"/>
  <c r="D16" i="1"/>
  <c r="D14"/>
  <c r="I29" i="2" l="1"/>
  <c r="I29" i="1"/>
</calcChain>
</file>

<file path=xl/sharedStrings.xml><?xml version="1.0" encoding="utf-8"?>
<sst xmlns="http://schemas.openxmlformats.org/spreadsheetml/2006/main" count="34" uniqueCount="18">
  <si>
    <t>시간</t>
    <phoneticPr fontId="1" type="noConversion"/>
  </si>
  <si>
    <t>각도</t>
    <phoneticPr fontId="1" type="noConversion"/>
  </si>
  <si>
    <t>a</t>
    <phoneticPr fontId="1" type="noConversion"/>
  </si>
  <si>
    <t>s</t>
    <phoneticPr fontId="1" type="noConversion"/>
  </si>
  <si>
    <t>v</t>
    <phoneticPr fontId="1" type="noConversion"/>
  </si>
  <si>
    <t>ds</t>
    <phoneticPr fontId="1" type="noConversion"/>
  </si>
  <si>
    <t>dt</t>
    <phoneticPr fontId="1" type="noConversion"/>
  </si>
  <si>
    <t>dv</t>
    <phoneticPr fontId="1" type="noConversion"/>
  </si>
  <si>
    <t>Q인수</t>
    <phoneticPr fontId="1" type="noConversion"/>
  </si>
  <si>
    <t>주기</t>
    <phoneticPr fontId="1" type="noConversion"/>
  </si>
  <si>
    <t>초</t>
    <phoneticPr fontId="1" type="noConversion"/>
  </si>
  <si>
    <t>질량(kg)</t>
    <phoneticPr fontId="1" type="noConversion"/>
  </si>
  <si>
    <t>저항(kg/s)</t>
    <phoneticPr fontId="1" type="noConversion"/>
  </si>
  <si>
    <t>길이(cm)</t>
    <phoneticPr fontId="1" type="noConversion"/>
  </si>
  <si>
    <t>조원</t>
    <phoneticPr fontId="1" type="noConversion"/>
  </si>
  <si>
    <t>김대영,백종민,송창환</t>
    <phoneticPr fontId="1" type="noConversion"/>
  </si>
  <si>
    <t>c/m</t>
    <phoneticPr fontId="1" type="noConversion"/>
  </si>
  <si>
    <t>l*c^2</t>
    <phoneticPr fontId="1" type="noConversion"/>
  </si>
</sst>
</file>

<file path=xl/styles.xml><?xml version="1.0" encoding="utf-8"?>
<styleSheet xmlns="http://schemas.openxmlformats.org/spreadsheetml/2006/main"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36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20"/>
      <name val="맑은 고딕"/>
      <family val="3"/>
      <charset val="129"/>
      <scheme val="minor"/>
    </font>
    <font>
      <b/>
      <sz val="12.5"/>
      <name val="맑은 고딕"/>
      <family val="3"/>
      <charset val="129"/>
      <scheme val="minor"/>
    </font>
    <font>
      <sz val="6"/>
      <name val="맑은 고딕"/>
      <family val="3"/>
      <charset val="129"/>
      <scheme val="minor"/>
    </font>
    <font>
      <b/>
      <sz val="25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6" tint="0.59999389629810485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6" tint="0.59999389629810485"/>
      <name val="맑은 고딕"/>
      <family val="2"/>
      <charset val="129"/>
      <scheme val="minor"/>
    </font>
    <font>
      <b/>
      <sz val="14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63377788628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1">
    <border>
      <left/>
      <right/>
      <top/>
      <bottom/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/>
      <right/>
      <top style="thick">
        <color rgb="FFC00000"/>
      </top>
      <bottom/>
      <diagonal/>
    </border>
    <border>
      <left/>
      <right style="thick">
        <color rgb="FFC00000"/>
      </right>
      <top style="thick">
        <color rgb="FFC00000"/>
      </top>
      <bottom/>
      <diagonal/>
    </border>
    <border>
      <left style="thick">
        <color rgb="FFC00000"/>
      </left>
      <right/>
      <top/>
      <bottom style="thick">
        <color rgb="FFC00000"/>
      </bottom>
      <diagonal/>
    </border>
    <border>
      <left/>
      <right/>
      <top/>
      <bottom style="thick">
        <color rgb="FFC00000"/>
      </bottom>
      <diagonal/>
    </border>
    <border>
      <left/>
      <right style="thick">
        <color rgb="FFC00000"/>
      </right>
      <top/>
      <bottom style="thick">
        <color rgb="FFC00000"/>
      </bottom>
      <diagonal/>
    </border>
    <border>
      <left style="thick">
        <color rgb="FFC00000"/>
      </left>
      <right/>
      <top/>
      <bottom/>
      <diagonal/>
    </border>
    <border>
      <left/>
      <right style="thick">
        <color rgb="FFC00000"/>
      </right>
      <top/>
      <bottom/>
      <diagonal/>
    </border>
    <border>
      <left style="thick">
        <color rgb="FFC00000"/>
      </left>
      <right/>
      <top style="thick">
        <color rgb="FFC00000"/>
      </top>
      <bottom style="thick">
        <color rgb="FFC00000"/>
      </bottom>
      <diagonal/>
    </border>
    <border>
      <left/>
      <right style="thick">
        <color rgb="FFC00000"/>
      </right>
      <top style="thick">
        <color rgb="FFC00000"/>
      </top>
      <bottom style="thick">
        <color rgb="FFC00000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4" fillId="2" borderId="0" xfId="0" applyFont="1" applyFill="1" applyBorder="1">
      <alignment vertical="center"/>
    </xf>
    <xf numFmtId="0" fontId="7" fillId="2" borderId="2" xfId="0" applyFont="1" applyFill="1" applyBorder="1" applyAlignment="1"/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9" fillId="2" borderId="0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right"/>
    </xf>
    <xf numFmtId="0" fontId="10" fillId="2" borderId="0" xfId="0" applyFont="1" applyFill="1" applyBorder="1">
      <alignment vertical="center"/>
    </xf>
    <xf numFmtId="0" fontId="10" fillId="2" borderId="0" xfId="0" applyFont="1" applyFill="1" applyBorder="1" applyAlignment="1">
      <alignment horizontal="right" vertical="center"/>
    </xf>
    <xf numFmtId="0" fontId="11" fillId="2" borderId="0" xfId="0" applyFont="1" applyFill="1" applyBorder="1">
      <alignment vertical="center"/>
    </xf>
    <xf numFmtId="0" fontId="11" fillId="3" borderId="0" xfId="0" applyFont="1" applyFill="1" applyBorder="1">
      <alignment vertical="center"/>
    </xf>
    <xf numFmtId="0" fontId="11" fillId="3" borderId="8" xfId="0" applyFont="1" applyFill="1" applyBorder="1">
      <alignment vertical="center"/>
    </xf>
    <xf numFmtId="0" fontId="11" fillId="3" borderId="5" xfId="0" applyFont="1" applyFill="1" applyBorder="1">
      <alignment vertical="center"/>
    </xf>
    <xf numFmtId="0" fontId="11" fillId="3" borderId="6" xfId="0" applyFont="1" applyFill="1" applyBorder="1">
      <alignment vertical="center"/>
    </xf>
    <xf numFmtId="0" fontId="10" fillId="3" borderId="0" xfId="0" applyFont="1" applyFill="1" applyBorder="1">
      <alignment vertical="center"/>
    </xf>
    <xf numFmtId="0" fontId="10" fillId="3" borderId="7" xfId="0" applyFont="1" applyFill="1" applyBorder="1">
      <alignment vertical="center"/>
    </xf>
    <xf numFmtId="0" fontId="10" fillId="3" borderId="4" xfId="0" applyFont="1" applyFill="1" applyBorder="1">
      <alignment vertical="center"/>
    </xf>
    <xf numFmtId="0" fontId="10" fillId="3" borderId="5" xfId="0" applyFont="1" applyFill="1" applyBorder="1">
      <alignment vertical="center"/>
    </xf>
    <xf numFmtId="0" fontId="9" fillId="3" borderId="7" xfId="0" applyFont="1" applyFill="1" applyBorder="1">
      <alignment vertical="center"/>
    </xf>
    <xf numFmtId="0" fontId="9" fillId="3" borderId="0" xfId="0" applyFont="1" applyFill="1" applyBorder="1">
      <alignment vertical="center"/>
    </xf>
    <xf numFmtId="0" fontId="12" fillId="2" borderId="0" xfId="0" applyFont="1" applyFill="1" applyBorder="1">
      <alignment vertical="center"/>
    </xf>
    <xf numFmtId="0" fontId="10" fillId="0" borderId="0" xfId="0" applyFont="1" applyFill="1" applyBorder="1">
      <alignment vertical="center"/>
    </xf>
    <xf numFmtId="0" fontId="10" fillId="0" borderId="8" xfId="0" applyFont="1" applyFill="1" applyBorder="1">
      <alignment vertical="center"/>
    </xf>
    <xf numFmtId="0" fontId="10" fillId="0" borderId="5" xfId="0" applyFont="1" applyFill="1" applyBorder="1">
      <alignment vertical="center"/>
    </xf>
    <xf numFmtId="0" fontId="10" fillId="0" borderId="6" xfId="0" applyFont="1" applyFill="1" applyBorder="1">
      <alignment vertical="center"/>
    </xf>
    <xf numFmtId="0" fontId="9" fillId="0" borderId="7" xfId="0" applyFont="1" applyFill="1" applyBorder="1">
      <alignment vertical="center"/>
    </xf>
    <xf numFmtId="0" fontId="9" fillId="0" borderId="0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4" fillId="0" borderId="4" xfId="0" applyFont="1" applyFill="1" applyBorder="1">
      <alignment vertical="center"/>
    </xf>
    <xf numFmtId="0" fontId="4" fillId="0" borderId="5" xfId="0" applyFont="1" applyFill="1" applyBorder="1">
      <alignment vertical="center"/>
    </xf>
    <xf numFmtId="0" fontId="13" fillId="2" borderId="1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colors>
    <mruColors>
      <color rgb="FFD5EDFF"/>
      <color rgb="FF71C2FF"/>
      <color rgb="FFF0EA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lineMarker"/>
        <c:ser>
          <c:idx val="0"/>
          <c:order val="0"/>
          <c:tx>
            <c:strRef>
              <c:f>'질량과 저항에 따른 진자의 진동 변화'!$C$37</c:f>
              <c:strCache>
                <c:ptCount val="1"/>
                <c:pt idx="0">
                  <c:v>각도</c:v>
                </c:pt>
              </c:strCache>
            </c:strRef>
          </c:tx>
          <c:marker>
            <c:symbol val="none"/>
          </c:marker>
          <c:xVal>
            <c:numRef>
              <c:f>'질량과 저항에 따른 진자의 진동 변화'!$B$38:$B$238</c:f>
              <c:numCache>
                <c:formatCode>General</c:formatCode>
                <c:ptCount val="2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</c:numCache>
            </c:numRef>
          </c:xVal>
          <c:yVal>
            <c:numRef>
              <c:f>'질량과 저항에 따른 진자의 진동 변화'!$C$38:$C$238</c:f>
              <c:numCache>
                <c:formatCode>General</c:formatCode>
                <c:ptCount val="201"/>
                <c:pt idx="0">
                  <c:v>35</c:v>
                </c:pt>
                <c:pt idx="1">
                  <c:v>32.217800365412323</c:v>
                </c:pt>
                <c:pt idx="2">
                  <c:v>27.716107794407343</c:v>
                </c:pt>
                <c:pt idx="3">
                  <c:v>21.940137885104146</c:v>
                </c:pt>
                <c:pt idx="4">
                  <c:v>15.370531039770903</c:v>
                </c:pt>
                <c:pt idx="5">
                  <c:v>8.4902212797009007</c:v>
                </c:pt>
                <c:pt idx="6">
                  <c:v>1.7543842964300376</c:v>
                </c:pt>
                <c:pt idx="7">
                  <c:v>-4.4349784209884762</c:v>
                </c:pt>
                <c:pt idx="8">
                  <c:v>-9.7487002462754333</c:v>
                </c:pt>
                <c:pt idx="9">
                  <c:v>-13.943700003407475</c:v>
                </c:pt>
                <c:pt idx="10">
                  <c:v>-16.869627209735292</c:v>
                </c:pt>
                <c:pt idx="11">
                  <c:v>-18.469133673468235</c:v>
                </c:pt>
                <c:pt idx="12">
                  <c:v>-18.772374294764116</c:v>
                </c:pt>
                <c:pt idx="13">
                  <c:v>-17.886637752474012</c:v>
                </c:pt>
                <c:pt idx="14">
                  <c:v>-15.982221005427292</c:v>
                </c:pt>
                <c:pt idx="15">
                  <c:v>-13.275785249736543</c:v>
                </c:pt>
                <c:pt idx="16">
                  <c:v>-10.012466214929102</c:v>
                </c:pt>
                <c:pt idx="17">
                  <c:v>-6.4479648759348134</c:v>
                </c:pt>
                <c:pt idx="18">
                  <c:v>-2.8317266724394519</c:v>
                </c:pt>
                <c:pt idx="19">
                  <c:v>0.60785763078088972</c:v>
                </c:pt>
                <c:pt idx="20">
                  <c:v>3.6755118940568225</c:v>
                </c:pt>
                <c:pt idx="21">
                  <c:v>6.217916761921952</c:v>
                </c:pt>
                <c:pt idx="22">
                  <c:v>8.1291007080828148</c:v>
                </c:pt>
                <c:pt idx="23">
                  <c:v>9.3523824881317257</c:v>
                </c:pt>
                <c:pt idx="24">
                  <c:v>9.8790802829382969</c:v>
                </c:pt>
                <c:pt idx="25">
                  <c:v>9.7443815955984494</c:v>
                </c:pt>
                <c:pt idx="26">
                  <c:v>9.0209050246241045</c:v>
                </c:pt>
                <c:pt idx="27">
                  <c:v>7.8105759659615952</c:v>
                </c:pt>
                <c:pt idx="28">
                  <c:v>6.2354819646388524</c:v>
                </c:pt>
                <c:pt idx="29">
                  <c:v>4.4283717407697747</c:v>
                </c:pt>
                <c:pt idx="30">
                  <c:v>2.523419369214265</c:v>
                </c:pt>
                <c:pt idx="31">
                  <c:v>0.64779829651040033</c:v>
                </c:pt>
                <c:pt idx="32">
                  <c:v>-1.0854930941687679</c:v>
                </c:pt>
                <c:pt idx="33">
                  <c:v>-2.5832329042326134</c:v>
                </c:pt>
                <c:pt idx="34">
                  <c:v>-3.7758110720994233</c:v>
                </c:pt>
                <c:pt idx="35">
                  <c:v>-4.6192334532864168</c:v>
                </c:pt>
                <c:pt idx="36">
                  <c:v>-5.0953488741153921</c:v>
                </c:pt>
                <c:pt idx="37">
                  <c:v>-5.2104578914359587</c:v>
                </c:pt>
                <c:pt idx="38">
                  <c:v>-4.9925465151024717</c:v>
                </c:pt>
                <c:pt idx="39">
                  <c:v>-4.4874494320686606</c:v>
                </c:pt>
                <c:pt idx="40">
                  <c:v>-3.7542837852558688</c:v>
                </c:pt>
                <c:pt idx="41">
                  <c:v>-2.8605064593063227</c:v>
                </c:pt>
                <c:pt idx="42">
                  <c:v>-1.8769367670217019</c:v>
                </c:pt>
                <c:pt idx="43">
                  <c:v>-0.87305532956797882</c:v>
                </c:pt>
                <c:pt idx="44">
                  <c:v>8.7157330172029424E-2</c:v>
                </c:pt>
                <c:pt idx="45">
                  <c:v>0.94863791619846105</c:v>
                </c:pt>
                <c:pt idx="46">
                  <c:v>1.6677745033530231</c:v>
                </c:pt>
                <c:pt idx="47">
                  <c:v>2.213987013192976</c:v>
                </c:pt>
                <c:pt idx="48">
                  <c:v>2.5703491143451958</c:v>
                </c:pt>
                <c:pt idx="49">
                  <c:v>2.7333063244999165</c:v>
                </c:pt>
                <c:pt idx="50">
                  <c:v>2.7115955900861</c:v>
                </c:pt>
                <c:pt idx="51">
                  <c:v>2.5245107067234001</c:v>
                </c:pt>
                <c:pt idx="52">
                  <c:v>2.1996843139331972</c:v>
                </c:pt>
                <c:pt idx="53">
                  <c:v>1.7705704587885858</c:v>
                </c:pt>
                <c:pt idx="54">
                  <c:v>1.2738123305294939</c:v>
                </c:pt>
                <c:pt idx="55">
                  <c:v>0.74666891431642024</c:v>
                </c:pt>
                <c:pt idx="56">
                  <c:v>0.22465378186522555</c:v>
                </c:pt>
                <c:pt idx="57">
                  <c:v>-0.26048876149369582</c:v>
                </c:pt>
                <c:pt idx="58">
                  <c:v>-0.68237796442305021</c:v>
                </c:pt>
                <c:pt idx="59">
                  <c:v>-1.0211046397826422</c:v>
                </c:pt>
                <c:pt idx="60">
                  <c:v>-1.2638317341977889</c:v>
                </c:pt>
                <c:pt idx="61">
                  <c:v>-1.4048996938294811</c:v>
                </c:pt>
                <c:pt idx="62">
                  <c:v>-1.4454782603861553</c:v>
                </c:pt>
                <c:pt idx="63">
                  <c:v>-1.3928302991467536</c:v>
                </c:pt>
                <c:pt idx="64">
                  <c:v>-1.2592708464628146</c:v>
                </c:pt>
                <c:pt idx="65">
                  <c:v>-1.0609153021131839</c:v>
                </c:pt>
                <c:pt idx="66">
                  <c:v>-0.81631458447919214</c:v>
                </c:pt>
                <c:pt idx="67">
                  <c:v>-0.54507253883888551</c:v>
                </c:pt>
                <c:pt idx="68">
                  <c:v>-0.26653272142729173</c:v>
                </c:pt>
                <c:pt idx="69">
                  <c:v>1.3910729394668894E-3</c:v>
                </c:pt>
                <c:pt idx="70">
                  <c:v>0.24318228015514623</c:v>
                </c:pt>
                <c:pt idx="71">
                  <c:v>0.44644691425749267</c:v>
                </c:pt>
                <c:pt idx="72">
                  <c:v>0.60237552938059413</c:v>
                </c:pt>
                <c:pt idx="73">
                  <c:v>0.70593886808476902</c:v>
                </c:pt>
                <c:pt idx="74">
                  <c:v>0.75583100175201678</c:v>
                </c:pt>
                <c:pt idx="75">
                  <c:v>0.75418802303237376</c:v>
                </c:pt>
                <c:pt idx="76">
                  <c:v>0.70612148571103928</c:v>
                </c:pt>
                <c:pt idx="77">
                  <c:v>0.61911341925869778</c:v>
                </c:pt>
                <c:pt idx="78">
                  <c:v>0.50232374293333237</c:v>
                </c:pt>
                <c:pt idx="79">
                  <c:v>0.36586137401770336</c:v>
                </c:pt>
                <c:pt idx="80">
                  <c:v>0.22006758055985376</c:v>
                </c:pt>
                <c:pt idx="81">
                  <c:v>7.485465278196822E-2</c:v>
                </c:pt>
                <c:pt idx="82">
                  <c:v>-6.0864637025706617E-2</c:v>
                </c:pt>
                <c:pt idx="83">
                  <c:v>-0.179630372221917</c:v>
                </c:pt>
                <c:pt idx="84">
                  <c:v>-0.27575502025017423</c:v>
                </c:pt>
                <c:pt idx="85">
                  <c:v>-0.34550242425107225</c:v>
                </c:pt>
                <c:pt idx="86">
                  <c:v>-0.38712886475561453</c:v>
                </c:pt>
                <c:pt idx="87">
                  <c:v>-0.40079706432816137</c:v>
                </c:pt>
                <c:pt idx="88">
                  <c:v>-0.3883807988269008</c:v>
                </c:pt>
                <c:pt idx="89">
                  <c:v>-0.35318281855339384</c:v>
                </c:pt>
                <c:pt idx="90">
                  <c:v>-0.29959192993927619</c:v>
                </c:pt>
                <c:pt idx="91">
                  <c:v>-0.23270633312245342</c:v>
                </c:pt>
                <c:pt idx="92">
                  <c:v>-0.15794976088798193</c:v>
                </c:pt>
                <c:pt idx="93">
                  <c:v>-8.070482841736587E-2</c:v>
                </c:pt>
                <c:pt idx="94">
                  <c:v>-5.9845672393360923E-3</c:v>
                </c:pt>
                <c:pt idx="95">
                  <c:v>6.1841280679568712E-2</c:v>
                </c:pt>
                <c:pt idx="96">
                  <c:v>0.11925362654672311</c:v>
                </c:pt>
                <c:pt idx="97">
                  <c:v>0.1637186975863911</c:v>
                </c:pt>
                <c:pt idx="98">
                  <c:v>0.19374874923833488</c:v>
                </c:pt>
                <c:pt idx="99">
                  <c:v>0.20889226599113503</c:v>
                </c:pt>
                <c:pt idx="100">
                  <c:v>0.20966111098886289</c:v>
                </c:pt>
                <c:pt idx="101">
                  <c:v>0.19740525373065393</c:v>
                </c:pt>
                <c:pt idx="102">
                  <c:v>0.17414790973430205</c:v>
                </c:pt>
                <c:pt idx="103">
                  <c:v>0.14239512356865211</c:v>
                </c:pt>
                <c:pt idx="104">
                  <c:v>0.10493404110724631</c:v>
                </c:pt>
                <c:pt idx="105">
                  <c:v>6.4633430544124168E-2</c:v>
                </c:pt>
                <c:pt idx="106">
                  <c:v>2.4258554601560837E-2</c:v>
                </c:pt>
                <c:pt idx="107">
                  <c:v>-1.3689566616442774E-2</c:v>
                </c:pt>
                <c:pt idx="108">
                  <c:v>-4.710294518969093E-2</c:v>
                </c:pt>
                <c:pt idx="109">
                  <c:v>-7.4358618370168952E-2</c:v>
                </c:pt>
                <c:pt idx="110">
                  <c:v>-9.437174018303611E-2</c:v>
                </c:pt>
                <c:pt idx="111">
                  <c:v>-0.10661027424127301</c:v>
                </c:pt>
                <c:pt idx="112">
                  <c:v>-0.11107411325864115</c:v>
                </c:pt>
                <c:pt idx="113">
                  <c:v>-0.1082433732869036</c:v>
                </c:pt>
                <c:pt idx="114">
                  <c:v>-9.9002053074166652E-2</c:v>
                </c:pt>
                <c:pt idx="115">
                  <c:v>-8.4544168732680391E-2</c:v>
                </c:pt>
                <c:pt idx="116">
                  <c:v>-6.6269865107920559E-2</c:v>
                </c:pt>
                <c:pt idx="117">
                  <c:v>-4.5678895080728255E-2</c:v>
                </c:pt>
                <c:pt idx="118">
                  <c:v>-2.4268302055772167E-2</c:v>
                </c:pt>
                <c:pt idx="119">
                  <c:v>-3.4402167742637181E-3</c:v>
                </c:pt>
                <c:pt idx="120">
                  <c:v>1.5575519795211773E-2</c:v>
                </c:pt>
                <c:pt idx="121">
                  <c:v>3.1780569544661463E-2</c:v>
                </c:pt>
                <c:pt idx="122">
                  <c:v>4.4447254775639808E-2</c:v>
                </c:pt>
                <c:pt idx="123">
                  <c:v>5.3137191331744167E-2</c:v>
                </c:pt>
                <c:pt idx="124">
                  <c:v>5.77002417339132E-2</c:v>
                </c:pt>
                <c:pt idx="125">
                  <c:v>5.8255766203615701E-2</c:v>
                </c:pt>
                <c:pt idx="126">
                  <c:v>5.5159050566714163E-2</c:v>
                </c:pt>
                <c:pt idx="127">
                  <c:v>4.8956425711495097E-2</c:v>
                </c:pt>
                <c:pt idx="128">
                  <c:v>4.0332950068473136E-2</c:v>
                </c:pt>
                <c:pt idx="129">
                  <c:v>3.0056609561732034E-2</c:v>
                </c:pt>
                <c:pt idx="130">
                  <c:v>1.8922820145368845E-2</c:v>
                </c:pt>
                <c:pt idx="131">
                  <c:v>7.7026313728610031E-3</c:v>
                </c:pt>
                <c:pt idx="132">
                  <c:v>-2.902529537207643E-3</c:v>
                </c:pt>
                <c:pt idx="133">
                  <c:v>-3.4134722407412084E-14</c:v>
                </c:pt>
                <c:pt idx="134">
                  <c:v>-2.7123243242612239E-14</c:v>
                </c:pt>
                <c:pt idx="135">
                  <c:v>-2.1533255075608107E-14</c:v>
                </c:pt>
                <c:pt idx="136">
                  <c:v>-1.7081204046649005E-14</c:v>
                </c:pt>
                <c:pt idx="137">
                  <c:v>-1.3538934753574527E-14</c:v>
                </c:pt>
                <c:pt idx="138">
                  <c:v>-1.0723163904555679E-14</c:v>
                </c:pt>
                <c:pt idx="139">
                  <c:v>-8.4868767381197352E-15</c:v>
                </c:pt>
                <c:pt idx="140">
                  <c:v>-6.7123157151303476E-15</c:v>
                </c:pt>
                <c:pt idx="141">
                  <c:v>-5.3052820207574032E-15</c:v>
                </c:pt>
                <c:pt idx="142">
                  <c:v>-4.1905152772380577E-15</c:v>
                </c:pt>
                <c:pt idx="143">
                  <c:v>-3.3079557429624502E-15</c:v>
                </c:pt>
                <c:pt idx="144">
                  <c:v>-2.6097265744996663E-15</c:v>
                </c:pt>
                <c:pt idx="145">
                  <c:v>-2.0577019880748082E-15</c:v>
                </c:pt>
                <c:pt idx="146">
                  <c:v>-1.6215509519737017E-15</c:v>
                </c:pt>
                <c:pt idx="147">
                  <c:v>-1.2771659446074296E-15</c:v>
                </c:pt>
                <c:pt idx="148">
                  <c:v>-1.0054028667357908E-15</c:v>
                </c:pt>
                <c:pt idx="149">
                  <c:v>-7.9107189663972727E-16</c:v>
                </c:pt>
                <c:pt idx="150">
                  <c:v>-6.2213036687341217E-16</c:v>
                </c:pt>
                <c:pt idx="151">
                  <c:v>-4.8903800928164149E-16</c:v>
                </c:pt>
                <c:pt idx="152">
                  <c:v>-3.842424974835916E-16</c:v>
                </c:pt>
                <c:pt idx="153">
                  <c:v>-3.0176940066148105E-16</c:v>
                </c:pt>
                <c:pt idx="154">
                  <c:v>-2.3689569310391996E-16</c:v>
                </c:pt>
                <c:pt idx="155">
                  <c:v>-1.8589004567697498E-16</c:v>
                </c:pt>
                <c:pt idx="156">
                  <c:v>-1.4580642968594168E-16</c:v>
                </c:pt>
                <c:pt idx="157">
                  <c:v>-1.1432023295317871E-16</c:v>
                </c:pt>
                <c:pt idx="158">
                  <c:v>-8.9598240244412232E-17</c:v>
                </c:pt>
                <c:pt idx="159">
                  <c:v>-7.0195562511457487E-17</c:v>
                </c:pt>
                <c:pt idx="160">
                  <c:v>-5.4973991445009958E-17</c:v>
                </c:pt>
                <c:pt idx="161">
                  <c:v>-4.3037372694419304E-17</c:v>
                </c:pt>
                <c:pt idx="162">
                  <c:v>-3.3680485929791237E-17</c:v>
                </c:pt>
                <c:pt idx="163">
                  <c:v>-2.6348635887110072E-17</c:v>
                </c:pt>
                <c:pt idx="164">
                  <c:v>-2.0605730683532295E-17</c:v>
                </c:pt>
                <c:pt idx="165">
                  <c:v>-1.6109080371088413E-17</c:v>
                </c:pt>
                <c:pt idx="166">
                  <c:v>0.65586037139392583</c:v>
                </c:pt>
                <c:pt idx="167">
                  <c:v>9.482037563953881</c:v>
                </c:pt>
                <c:pt idx="168">
                  <c:v>17.69208709491225</c:v>
                </c:pt>
                <c:pt idx="169">
                  <c:v>24.752533054157446</c:v>
                </c:pt>
                <c:pt idx="170">
                  <c:v>30.204598936176435</c:v>
                </c:pt>
                <c:pt idx="171">
                  <c:v>33.69401820488671</c:v>
                </c:pt>
                <c:pt idx="172">
                  <c:v>34.994053967518411</c:v>
                </c:pt>
                <c:pt idx="173">
                  <c:v>34.020231975891626</c:v>
                </c:pt>
                <c:pt idx="174">
                  <c:v>30.835829628189007</c:v>
                </c:pt>
                <c:pt idx="175">
                  <c:v>25.647764304652462</c:v>
                </c:pt>
                <c:pt idx="176">
                  <c:v>18.793148206585471</c:v>
                </c:pt>
                <c:pt idx="177">
                  <c:v>10.717383343755808</c:v>
                </c:pt>
                <c:pt idx="178">
                  <c:v>1.9452200229429697</c:v>
                </c:pt>
                <c:pt idx="179">
                  <c:v>-6.9533405891643643</c:v>
                </c:pt>
                <c:pt idx="180">
                  <c:v>-15.400084231698886</c:v>
                </c:pt>
                <c:pt idx="181">
                  <c:v>-22.846154989091666</c:v>
                </c:pt>
                <c:pt idx="182">
                  <c:v>-28.807719072146106</c:v>
                </c:pt>
                <c:pt idx="183">
                  <c:v>-32.89740356515636</c:v>
                </c:pt>
                <c:pt idx="184">
                  <c:v>-34.849467299479151</c:v>
                </c:pt>
                <c:pt idx="185">
                  <c:v>-34.537068290381264</c:v>
                </c:pt>
                <c:pt idx="186">
                  <c:v>-31.980505726688289</c:v>
                </c:pt>
                <c:pt idx="187">
                  <c:v>-27.345900961904917</c:v>
                </c:pt>
                <c:pt idx="188">
                  <c:v>-20.934403213898502</c:v>
                </c:pt>
                <c:pt idx="189">
                  <c:v>-13.162621369545858</c:v>
                </c:pt>
                <c:pt idx="190">
                  <c:v>-4.5355534044342036</c:v>
                </c:pt>
                <c:pt idx="191">
                  <c:v>4.3862275792976702</c:v>
                </c:pt>
                <c:pt idx="192">
                  <c:v>13.022998498108629</c:v>
                </c:pt>
                <c:pt idx="193">
                  <c:v>20.813555767420524</c:v>
                </c:pt>
                <c:pt idx="194">
                  <c:v>27.251681414509694</c:v>
                </c:pt>
                <c:pt idx="195">
                  <c:v>31.919036314131812</c:v>
                </c:pt>
                <c:pt idx="196">
                  <c:v>34.512343196947555</c:v>
                </c:pt>
                <c:pt idx="197">
                  <c:v>34.863093122262725</c:v>
                </c:pt>
                <c:pt idx="198">
                  <c:v>32.948494919948125</c:v>
                </c:pt>
                <c:pt idx="199">
                  <c:v>28.892956124285533</c:v>
                </c:pt>
                <c:pt idx="200">
                  <c:v>22.959999171022847</c:v>
                </c:pt>
              </c:numCache>
            </c:numRef>
          </c:yVal>
        </c:ser>
        <c:ser>
          <c:idx val="1"/>
          <c:order val="1"/>
          <c:tx>
            <c:v>(+)포락선</c:v>
          </c:tx>
          <c:marker>
            <c:symbol val="none"/>
          </c:marker>
          <c:xVal>
            <c:numRef>
              <c:f>'질량과 저항에 따른 진자의 진동 변화'!$B$38:$B$238</c:f>
              <c:numCache>
                <c:formatCode>General</c:formatCode>
                <c:ptCount val="2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</c:numCache>
            </c:numRef>
          </c:xVal>
          <c:yVal>
            <c:numRef>
              <c:f>'질량과 저항에 따른 진자의 진동 변화'!$I$38:$I$238</c:f>
              <c:numCache>
                <c:formatCode>General</c:formatCode>
                <c:ptCount val="201"/>
                <c:pt idx="0">
                  <c:v>35</c:v>
                </c:pt>
                <c:pt idx="1">
                  <c:v>33.255218356926591</c:v>
                </c:pt>
                <c:pt idx="2">
                  <c:v>31.597415656196208</c:v>
                </c:pt>
                <c:pt idx="3">
                  <c:v>30.022255918896452</c:v>
                </c:pt>
                <c:pt idx="4">
                  <c:v>28.525619318583811</c:v>
                </c:pt>
                <c:pt idx="5">
                  <c:v>27.103591405887663</c:v>
                </c:pt>
                <c:pt idx="6">
                  <c:v>25.752452870277516</c:v>
                </c:pt>
                <c:pt idx="7">
                  <c:v>24.468669812215424</c:v>
                </c:pt>
                <c:pt idx="8">
                  <c:v>23.248884500250337</c:v>
                </c:pt>
                <c:pt idx="9">
                  <c:v>22.089906588879749</c:v>
                </c:pt>
                <c:pt idx="10">
                  <c:v>20.988704774208784</c:v>
                </c:pt>
                <c:pt idx="11">
                  <c:v>19.942398865582309</c:v>
                </c:pt>
                <c:pt idx="12">
                  <c:v>18.94825225245328</c:v>
                </c:pt>
                <c:pt idx="13">
                  <c:v>18.003664746784565</c:v>
                </c:pt>
                <c:pt idx="14">
                  <c:v>17.106165782263492</c:v>
                </c:pt>
                <c:pt idx="15">
                  <c:v>16.253407952541668</c:v>
                </c:pt>
                <c:pt idx="16">
                  <c:v>15.443160871599437</c:v>
                </c:pt>
                <c:pt idx="17">
                  <c:v>14.673305340176688</c:v>
                </c:pt>
                <c:pt idx="18">
                  <c:v>13.941827803012364</c:v>
                </c:pt>
                <c:pt idx="19">
                  <c:v>13.246815082395607</c:v>
                </c:pt>
                <c:pt idx="20">
                  <c:v>12.586449374254126</c:v>
                </c:pt>
                <c:pt idx="21">
                  <c:v>11.959003493692085</c:v>
                </c:pt>
                <c:pt idx="22">
                  <c:v>11.362836357542239</c:v>
                </c:pt>
                <c:pt idx="23">
                  <c:v>10.796388692116899</c:v>
                </c:pt>
                <c:pt idx="24">
                  <c:v>10.258178954931443</c:v>
                </c:pt>
                <c:pt idx="25">
                  <c:v>9.7467994597335483</c:v>
                </c:pt>
                <c:pt idx="26">
                  <c:v>9.2609126947032347</c:v>
                </c:pt>
                <c:pt idx="27">
                  <c:v>8.7992478241939853</c:v>
                </c:pt>
                <c:pt idx="28">
                  <c:v>8.3605973648652068</c:v>
                </c:pt>
                <c:pt idx="29">
                  <c:v>7.9438140275124995</c:v>
                </c:pt>
                <c:pt idx="30">
                  <c:v>7.5478077163355604</c:v>
                </c:pt>
                <c:pt idx="31">
                  <c:v>7.171542677795272</c:v>
                </c:pt>
                <c:pt idx="32">
                  <c:v>6.8140347916028512</c:v>
                </c:pt>
                <c:pt idx="33">
                  <c:v>6.4743489967556442</c:v>
                </c:pt>
                <c:pt idx="34">
                  <c:v>6.1515968458873598</c:v>
                </c:pt>
                <c:pt idx="35">
                  <c:v>5.8449341815361429</c:v>
                </c:pt>
                <c:pt idx="36">
                  <c:v>5.5535589282528131</c:v>
                </c:pt>
                <c:pt idx="37">
                  <c:v>5.276708994774471</c:v>
                </c:pt>
                <c:pt idx="38">
                  <c:v>5.0136602807766755</c:v>
                </c:pt>
                <c:pt idx="39">
                  <c:v>4.7637247829908071</c:v>
                </c:pt>
                <c:pt idx="40">
                  <c:v>4.5262487957332009</c:v>
                </c:pt>
                <c:pt idx="41">
                  <c:v>4.3006112011395334</c:v>
                </c:pt>
                <c:pt idx="42">
                  <c:v>4.0862218446325578</c:v>
                </c:pt>
                <c:pt idx="43">
                  <c:v>3.8825199913742603</c:v>
                </c:pt>
                <c:pt idx="44">
                  <c:v>3.6889728596652516</c:v>
                </c:pt>
                <c:pt idx="45">
                  <c:v>3.5050742274555389</c:v>
                </c:pt>
                <c:pt idx="46">
                  <c:v>3.3303431083219928</c:v>
                </c:pt>
                <c:pt idx="47">
                  <c:v>3.1643224934495295</c:v>
                </c:pt>
                <c:pt idx="48">
                  <c:v>3.0065781563256717</c:v>
                </c:pt>
                <c:pt idx="49">
                  <c:v>2.8566975170221718</c:v>
                </c:pt>
                <c:pt idx="50">
                  <c:v>2.7142885630932105</c:v>
                </c:pt>
                <c:pt idx="51">
                  <c:v>2.5789788242678067</c:v>
                </c:pt>
                <c:pt idx="52">
                  <c:v>2.4504143982547353</c:v>
                </c:pt>
                <c:pt idx="53">
                  <c:v>2.3282590251119468</c:v>
                </c:pt>
                <c:pt idx="54">
                  <c:v>2.2121932077595101</c:v>
                </c:pt>
                <c:pt idx="55">
                  <c:v>2.1019133763357818</c:v>
                </c:pt>
                <c:pt idx="56">
                  <c:v>1.9971310942111788</c:v>
                </c:pt>
                <c:pt idx="57">
                  <c:v>1.8975723035828718</c:v>
                </c:pt>
                <c:pt idx="58">
                  <c:v>1.8029766086772738</c:v>
                </c:pt>
                <c:pt idx="59">
                  <c:v>1.7130965946855357</c:v>
                </c:pt>
                <c:pt idx="60">
                  <c:v>1.6276971806507108</c:v>
                </c:pt>
                <c:pt idx="61">
                  <c:v>1.5465550046140906</c:v>
                </c:pt>
                <c:pt idx="62">
                  <c:v>1.4694578394125488</c:v>
                </c:pt>
                <c:pt idx="63">
                  <c:v>1.3962040375989111</c:v>
                </c:pt>
                <c:pt idx="64">
                  <c:v>1.3266020040335522</c:v>
                </c:pt>
                <c:pt idx="65">
                  <c:v>1.2604696947677774</c:v>
                </c:pt>
                <c:pt idx="66">
                  <c:v>1.197634140908316</c:v>
                </c:pt>
                <c:pt idx="67">
                  <c:v>1.1379309962176067</c:v>
                </c:pt>
                <c:pt idx="68">
                  <c:v>1.0812041072666152</c:v>
                </c:pt>
                <c:pt idx="69">
                  <c:v>1.0273051050159194</c:v>
                </c:pt>
                <c:pt idx="70">
                  <c:v>0.97609301675685134</c:v>
                </c:pt>
                <c:pt idx="71">
                  <c:v>0.92743389739772297</c:v>
                </c:pt>
                <c:pt idx="72">
                  <c:v>0.88120047913076405</c:v>
                </c:pt>
                <c:pt idx="73">
                  <c:v>0.83727183856348297</c:v>
                </c:pt>
                <c:pt idx="74">
                  <c:v>0.79553308044382898</c:v>
                </c:pt>
                <c:pt idx="75">
                  <c:v>0.75587503715194249</c:v>
                </c:pt>
                <c:pt idx="76">
                  <c:v>0.71819398317251015</c:v>
                </c:pt>
                <c:pt idx="77">
                  <c:v>0.68239136380093379</c:v>
                </c:pt>
                <c:pt idx="78">
                  <c:v>0.64837353737374259</c:v>
                </c:pt>
                <c:pt idx="79">
                  <c:v>0.61605153034904903</c:v>
                </c:pt>
                <c:pt idx="80">
                  <c:v>0.58534080459646898</c:v>
                </c:pt>
                <c:pt idx="81">
                  <c:v>0.55616103628784819</c:v>
                </c:pt>
                <c:pt idx="82">
                  <c:v>0.52843590581048483</c:v>
                </c:pt>
                <c:pt idx="83">
                  <c:v>0.50209289815337066</c:v>
                </c:pt>
                <c:pt idx="84">
                  <c:v>0.47706311324435569</c:v>
                </c:pt>
                <c:pt idx="85">
                  <c:v>0.45328108574217824</c:v>
                </c:pt>
                <c:pt idx="86">
                  <c:v>0.43068461381202588</c:v>
                </c:pt>
                <c:pt idx="87">
                  <c:v>0.40921459643678654</c:v>
                </c:pt>
                <c:pt idx="88">
                  <c:v>0.38881487883848381</c:v>
                </c:pt>
                <c:pt idx="89">
                  <c:v>0.36943210560559259</c:v>
                </c:pt>
                <c:pt idx="90">
                  <c:v>0.35101558114208997</c:v>
                </c:pt>
                <c:pt idx="91">
                  <c:v>0.33351713707324798</c:v>
                </c:pt>
                <c:pt idx="92">
                  <c:v>0.31689100626136801</c:v>
                </c:pt>
                <c:pt idx="93">
                  <c:v>0.30109370310194256</c:v>
                </c:pt>
                <c:pt idx="94">
                  <c:v>0.28608390978716369</c:v>
                </c:pt>
                <c:pt idx="95">
                  <c:v>0.27182236823929767</c:v>
                </c:pt>
                <c:pt idx="96">
                  <c:v>0.25827177743127872</c:v>
                </c:pt>
                <c:pt idx="97">
                  <c:v>0.24539669582596324</c:v>
                </c:pt>
                <c:pt idx="98">
                  <c:v>0.23316344867887734</c:v>
                </c:pt>
                <c:pt idx="99">
                  <c:v>0.2215400399620033</c:v>
                </c:pt>
                <c:pt idx="100">
                  <c:v>0.21049606867824758</c:v>
                </c:pt>
                <c:pt idx="101">
                  <c:v>0.2000026493477069</c:v>
                </c:pt>
                <c:pt idx="102">
                  <c:v>0.19003233645776621</c:v>
                </c:pt>
                <c:pt idx="103">
                  <c:v>0.1805590526794274</c:v>
                </c:pt>
                <c:pt idx="104">
                  <c:v>0.171558020662119</c:v>
                </c:pt>
                <c:pt idx="105">
                  <c:v>0.16300569822859695</c:v>
                </c:pt>
                <c:pt idx="106">
                  <c:v>0.15487971680043644</c:v>
                </c:pt>
                <c:pt idx="107">
                  <c:v>0.1471588228930705</c:v>
                </c:pt>
                <c:pt idx="108">
                  <c:v>0.13982282252735284</c:v>
                </c:pt>
                <c:pt idx="109">
                  <c:v>0.1328525284122547</c:v>
                </c:pt>
                <c:pt idx="110">
                  <c:v>0.12622970976055203</c:v>
                </c:pt>
                <c:pt idx="111">
                  <c:v>0.11993704460624649</c:v>
                </c:pt>
                <c:pt idx="112">
                  <c:v>0.11395807449900493</c:v>
                </c:pt>
                <c:pt idx="113">
                  <c:v>0.10827716145712336</c:v>
                </c:pt>
                <c:pt idx="114">
                  <c:v>0.10287944706642385</c:v>
                </c:pt>
                <c:pt idx="115">
                  <c:v>9.7750813618108487E-2</c:v>
                </c:pt>
                <c:pt idx="116">
                  <c:v>9.2877847183926554E-2</c:v>
                </c:pt>
                <c:pt idx="117">
                  <c:v>8.8247802532078215E-2</c:v>
                </c:pt>
                <c:pt idx="118">
                  <c:v>8.3848569792091474E-2</c:v>
                </c:pt>
                <c:pt idx="119">
                  <c:v>7.9668642781485763E-2</c:v>
                </c:pt>
                <c:pt idx="120">
                  <c:v>7.5697088911379815E-2</c:v>
                </c:pt>
                <c:pt idx="121">
                  <c:v>7.1923520592332091E-2</c:v>
                </c:pt>
                <c:pt idx="122">
                  <c:v>6.833806806562602E-2</c:v>
                </c:pt>
                <c:pt idx="123">
                  <c:v>6.4931353588940102E-2</c:v>
                </c:pt>
                <c:pt idx="124">
                  <c:v>6.1694466908886088E-2</c:v>
                </c:pt>
                <c:pt idx="125">
                  <c:v>5.8618941956262556E-2</c:v>
                </c:pt>
                <c:pt idx="126">
                  <c:v>5.5696734703071932E-2</c:v>
                </c:pt>
                <c:pt idx="127">
                  <c:v>5.2920202123384816E-2</c:v>
                </c:pt>
                <c:pt idx="128">
                  <c:v>5.0282082203024367E-2</c:v>
                </c:pt>
                <c:pt idx="129">
                  <c:v>4.7775474945785913E-2</c:v>
                </c:pt>
                <c:pt idx="130">
                  <c:v>4.5393824326513899E-2</c:v>
                </c:pt>
                <c:pt idx="131">
                  <c:v>4.3130901143833895E-2</c:v>
                </c:pt>
                <c:pt idx="132">
                  <c:v>4.0980786727691759E-2</c:v>
                </c:pt>
              </c:numCache>
            </c:numRef>
          </c:yVal>
        </c:ser>
        <c:ser>
          <c:idx val="2"/>
          <c:order val="2"/>
          <c:tx>
            <c:v>(-)포락선</c:v>
          </c:tx>
          <c:marker>
            <c:symbol val="none"/>
          </c:marker>
          <c:xVal>
            <c:numRef>
              <c:f>'질량과 저항에 따른 진자의 진동 변화'!$B$38:$B$238</c:f>
              <c:numCache>
                <c:formatCode>General</c:formatCode>
                <c:ptCount val="2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</c:numCache>
            </c:numRef>
          </c:xVal>
          <c:yVal>
            <c:numRef>
              <c:f>'질량과 저항에 따른 진자의 진동 변화'!$J$38:$J$238</c:f>
              <c:numCache>
                <c:formatCode>General</c:formatCode>
                <c:ptCount val="201"/>
                <c:pt idx="0">
                  <c:v>-35</c:v>
                </c:pt>
                <c:pt idx="1">
                  <c:v>-33.255218356926591</c:v>
                </c:pt>
                <c:pt idx="2">
                  <c:v>-31.597415656196208</c:v>
                </c:pt>
                <c:pt idx="3">
                  <c:v>-30.022255918896452</c:v>
                </c:pt>
                <c:pt idx="4">
                  <c:v>-28.525619318583811</c:v>
                </c:pt>
                <c:pt idx="5">
                  <c:v>-27.103591405887663</c:v>
                </c:pt>
                <c:pt idx="6">
                  <c:v>-25.752452870277516</c:v>
                </c:pt>
                <c:pt idx="7">
                  <c:v>-24.468669812215424</c:v>
                </c:pt>
                <c:pt idx="8">
                  <c:v>-23.248884500250337</c:v>
                </c:pt>
                <c:pt idx="9">
                  <c:v>-22.089906588879749</c:v>
                </c:pt>
                <c:pt idx="10">
                  <c:v>-20.988704774208784</c:v>
                </c:pt>
                <c:pt idx="11">
                  <c:v>-19.942398865582309</c:v>
                </c:pt>
                <c:pt idx="12">
                  <c:v>-18.94825225245328</c:v>
                </c:pt>
                <c:pt idx="13">
                  <c:v>-18.003664746784565</c:v>
                </c:pt>
                <c:pt idx="14">
                  <c:v>-17.106165782263492</c:v>
                </c:pt>
                <c:pt idx="15">
                  <c:v>-16.253407952541668</c:v>
                </c:pt>
                <c:pt idx="16">
                  <c:v>-15.443160871599437</c:v>
                </c:pt>
                <c:pt idx="17">
                  <c:v>-14.673305340176688</c:v>
                </c:pt>
                <c:pt idx="18">
                  <c:v>-13.941827803012364</c:v>
                </c:pt>
                <c:pt idx="19">
                  <c:v>-13.246815082395607</c:v>
                </c:pt>
                <c:pt idx="20">
                  <c:v>-12.586449374254126</c:v>
                </c:pt>
                <c:pt idx="21">
                  <c:v>-11.959003493692085</c:v>
                </c:pt>
                <c:pt idx="22">
                  <c:v>-11.362836357542239</c:v>
                </c:pt>
                <c:pt idx="23">
                  <c:v>-10.796388692116899</c:v>
                </c:pt>
                <c:pt idx="24">
                  <c:v>-10.258178954931443</c:v>
                </c:pt>
                <c:pt idx="25">
                  <c:v>-9.7467994597335483</c:v>
                </c:pt>
                <c:pt idx="26">
                  <c:v>-9.2609126947032347</c:v>
                </c:pt>
                <c:pt idx="27">
                  <c:v>-8.7992478241939853</c:v>
                </c:pt>
                <c:pt idx="28">
                  <c:v>-8.3605973648652068</c:v>
                </c:pt>
                <c:pt idx="29">
                  <c:v>-7.9438140275124995</c:v>
                </c:pt>
                <c:pt idx="30">
                  <c:v>-7.5478077163355604</c:v>
                </c:pt>
                <c:pt idx="31">
                  <c:v>-7.171542677795272</c:v>
                </c:pt>
                <c:pt idx="32">
                  <c:v>-6.8140347916028512</c:v>
                </c:pt>
                <c:pt idx="33">
                  <c:v>-6.4743489967556442</c:v>
                </c:pt>
                <c:pt idx="34">
                  <c:v>-6.1515968458873598</c:v>
                </c:pt>
                <c:pt idx="35">
                  <c:v>-5.8449341815361429</c:v>
                </c:pt>
                <c:pt idx="36">
                  <c:v>-5.5535589282528131</c:v>
                </c:pt>
                <c:pt idx="37">
                  <c:v>-5.276708994774471</c:v>
                </c:pt>
                <c:pt idx="38">
                  <c:v>-5.0136602807766755</c:v>
                </c:pt>
                <c:pt idx="39">
                  <c:v>-4.7637247829908071</c:v>
                </c:pt>
                <c:pt idx="40">
                  <c:v>-4.5262487957332009</c:v>
                </c:pt>
                <c:pt idx="41">
                  <c:v>-4.3006112011395334</c:v>
                </c:pt>
                <c:pt idx="42">
                  <c:v>-4.0862218446325578</c:v>
                </c:pt>
                <c:pt idx="43">
                  <c:v>-3.8825199913742603</c:v>
                </c:pt>
                <c:pt idx="44">
                  <c:v>-3.6889728596652516</c:v>
                </c:pt>
                <c:pt idx="45">
                  <c:v>-3.5050742274555389</c:v>
                </c:pt>
                <c:pt idx="46">
                  <c:v>-3.3303431083219928</c:v>
                </c:pt>
                <c:pt idx="47">
                  <c:v>-3.1643224934495295</c:v>
                </c:pt>
                <c:pt idx="48">
                  <c:v>-3.0065781563256717</c:v>
                </c:pt>
                <c:pt idx="49">
                  <c:v>-2.8566975170221718</c:v>
                </c:pt>
                <c:pt idx="50">
                  <c:v>-2.7142885630932105</c:v>
                </c:pt>
                <c:pt idx="51">
                  <c:v>-2.5789788242678067</c:v>
                </c:pt>
                <c:pt idx="52">
                  <c:v>-2.4504143982547353</c:v>
                </c:pt>
                <c:pt idx="53">
                  <c:v>-2.3282590251119468</c:v>
                </c:pt>
                <c:pt idx="54">
                  <c:v>-2.2121932077595101</c:v>
                </c:pt>
                <c:pt idx="55">
                  <c:v>-2.1019133763357818</c:v>
                </c:pt>
                <c:pt idx="56">
                  <c:v>-1.9971310942111788</c:v>
                </c:pt>
                <c:pt idx="57">
                  <c:v>-1.8975723035828718</c:v>
                </c:pt>
                <c:pt idx="58">
                  <c:v>-1.8029766086772738</c:v>
                </c:pt>
                <c:pt idx="59">
                  <c:v>-1.7130965946855357</c:v>
                </c:pt>
                <c:pt idx="60">
                  <c:v>-1.6276971806507108</c:v>
                </c:pt>
                <c:pt idx="61">
                  <c:v>-1.5465550046140906</c:v>
                </c:pt>
                <c:pt idx="62">
                  <c:v>-1.4694578394125488</c:v>
                </c:pt>
                <c:pt idx="63">
                  <c:v>-1.3962040375989111</c:v>
                </c:pt>
                <c:pt idx="64">
                  <c:v>-1.3266020040335522</c:v>
                </c:pt>
                <c:pt idx="65">
                  <c:v>-1.2604696947677774</c:v>
                </c:pt>
                <c:pt idx="66">
                  <c:v>-1.197634140908316</c:v>
                </c:pt>
                <c:pt idx="67">
                  <c:v>-1.1379309962176067</c:v>
                </c:pt>
                <c:pt idx="68">
                  <c:v>-1.0812041072666152</c:v>
                </c:pt>
                <c:pt idx="69">
                  <c:v>-1.0273051050159194</c:v>
                </c:pt>
                <c:pt idx="70">
                  <c:v>-0.97609301675685134</c:v>
                </c:pt>
                <c:pt idx="71">
                  <c:v>-0.92743389739772297</c:v>
                </c:pt>
                <c:pt idx="72">
                  <c:v>-0.88120047913076405</c:v>
                </c:pt>
                <c:pt idx="73">
                  <c:v>-0.83727183856348297</c:v>
                </c:pt>
                <c:pt idx="74">
                  <c:v>-0.79553308044382898</c:v>
                </c:pt>
                <c:pt idx="75">
                  <c:v>-0.75587503715194249</c:v>
                </c:pt>
                <c:pt idx="76">
                  <c:v>-0.71819398317251015</c:v>
                </c:pt>
                <c:pt idx="77">
                  <c:v>-0.68239136380093379</c:v>
                </c:pt>
                <c:pt idx="78">
                  <c:v>-0.64837353737374259</c:v>
                </c:pt>
                <c:pt idx="79">
                  <c:v>-0.61605153034904903</c:v>
                </c:pt>
                <c:pt idx="80">
                  <c:v>-0.58534080459646898</c:v>
                </c:pt>
                <c:pt idx="81">
                  <c:v>-0.55616103628784819</c:v>
                </c:pt>
                <c:pt idx="82">
                  <c:v>-0.52843590581048483</c:v>
                </c:pt>
                <c:pt idx="83">
                  <c:v>-0.50209289815337066</c:v>
                </c:pt>
                <c:pt idx="84">
                  <c:v>-0.47706311324435569</c:v>
                </c:pt>
                <c:pt idx="85">
                  <c:v>-0.45328108574217824</c:v>
                </c:pt>
                <c:pt idx="86">
                  <c:v>-0.43068461381202588</c:v>
                </c:pt>
                <c:pt idx="87">
                  <c:v>-0.40921459643678654</c:v>
                </c:pt>
                <c:pt idx="88">
                  <c:v>-0.38881487883848381</c:v>
                </c:pt>
                <c:pt idx="89">
                  <c:v>-0.36943210560559259</c:v>
                </c:pt>
                <c:pt idx="90">
                  <c:v>-0.35101558114208997</c:v>
                </c:pt>
                <c:pt idx="91">
                  <c:v>-0.33351713707324798</c:v>
                </c:pt>
                <c:pt idx="92">
                  <c:v>-0.31689100626136801</c:v>
                </c:pt>
                <c:pt idx="93">
                  <c:v>-0.30109370310194256</c:v>
                </c:pt>
                <c:pt idx="94">
                  <c:v>-0.28608390978716369</c:v>
                </c:pt>
                <c:pt idx="95">
                  <c:v>-0.27182236823929767</c:v>
                </c:pt>
                <c:pt idx="96">
                  <c:v>-0.25827177743127872</c:v>
                </c:pt>
                <c:pt idx="97">
                  <c:v>-0.24539669582596324</c:v>
                </c:pt>
                <c:pt idx="98">
                  <c:v>-0.23316344867887734</c:v>
                </c:pt>
                <c:pt idx="99">
                  <c:v>-0.2215400399620033</c:v>
                </c:pt>
                <c:pt idx="100">
                  <c:v>-0.21049606867824758</c:v>
                </c:pt>
                <c:pt idx="101">
                  <c:v>-0.2000026493477069</c:v>
                </c:pt>
                <c:pt idx="102">
                  <c:v>-0.19003233645776621</c:v>
                </c:pt>
                <c:pt idx="103">
                  <c:v>-0.1805590526794274</c:v>
                </c:pt>
                <c:pt idx="104">
                  <c:v>-0.171558020662119</c:v>
                </c:pt>
                <c:pt idx="105">
                  <c:v>-0.16300569822859695</c:v>
                </c:pt>
                <c:pt idx="106">
                  <c:v>-0.15487971680043644</c:v>
                </c:pt>
                <c:pt idx="107">
                  <c:v>-0.1471588228930705</c:v>
                </c:pt>
                <c:pt idx="108">
                  <c:v>-0.13982282252735284</c:v>
                </c:pt>
                <c:pt idx="109">
                  <c:v>-0.1328525284122547</c:v>
                </c:pt>
                <c:pt idx="110">
                  <c:v>-0.12622970976055203</c:v>
                </c:pt>
                <c:pt idx="111">
                  <c:v>-0.11993704460624649</c:v>
                </c:pt>
                <c:pt idx="112">
                  <c:v>-0.11395807449900493</c:v>
                </c:pt>
                <c:pt idx="113">
                  <c:v>-0.10827716145712336</c:v>
                </c:pt>
                <c:pt idx="114">
                  <c:v>-0.10287944706642385</c:v>
                </c:pt>
                <c:pt idx="115">
                  <c:v>-9.7750813618108487E-2</c:v>
                </c:pt>
                <c:pt idx="116">
                  <c:v>-9.2877847183926554E-2</c:v>
                </c:pt>
                <c:pt idx="117">
                  <c:v>-8.8247802532078215E-2</c:v>
                </c:pt>
                <c:pt idx="118">
                  <c:v>-8.3848569792091474E-2</c:v>
                </c:pt>
                <c:pt idx="119">
                  <c:v>-7.9668642781485763E-2</c:v>
                </c:pt>
                <c:pt idx="120">
                  <c:v>-7.5697088911379815E-2</c:v>
                </c:pt>
                <c:pt idx="121">
                  <c:v>-7.1923520592332091E-2</c:v>
                </c:pt>
                <c:pt idx="122">
                  <c:v>-6.833806806562602E-2</c:v>
                </c:pt>
                <c:pt idx="123">
                  <c:v>-6.4931353588940102E-2</c:v>
                </c:pt>
                <c:pt idx="124">
                  <c:v>-6.1694466908886088E-2</c:v>
                </c:pt>
                <c:pt idx="125">
                  <c:v>-5.8618941956262556E-2</c:v>
                </c:pt>
                <c:pt idx="126">
                  <c:v>-5.5696734703071932E-2</c:v>
                </c:pt>
                <c:pt idx="127">
                  <c:v>-5.2920202123384816E-2</c:v>
                </c:pt>
                <c:pt idx="128">
                  <c:v>-5.0282082203024367E-2</c:v>
                </c:pt>
                <c:pt idx="129">
                  <c:v>-4.7775474945785913E-2</c:v>
                </c:pt>
                <c:pt idx="130">
                  <c:v>-4.5393824326513899E-2</c:v>
                </c:pt>
                <c:pt idx="131">
                  <c:v>-4.3130901143833895E-2</c:v>
                </c:pt>
                <c:pt idx="132">
                  <c:v>-4.0980786727691759E-2</c:v>
                </c:pt>
              </c:numCache>
            </c:numRef>
          </c:yVal>
        </c:ser>
        <c:axId val="66660608"/>
        <c:axId val="66679552"/>
      </c:scatterChart>
      <c:valAx>
        <c:axId val="666606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시간</a:t>
                </a:r>
                <a:r>
                  <a:rPr lang="en-US" altLang="ko-KR"/>
                  <a:t>(</a:t>
                </a:r>
                <a:r>
                  <a:rPr lang="ko-KR" altLang="en-US"/>
                  <a:t>초</a:t>
                </a:r>
                <a:r>
                  <a:rPr lang="en-US" altLang="ko-KR"/>
                  <a:t>)</a:t>
                </a:r>
              </a:p>
            </c:rich>
          </c:tx>
          <c:layout/>
        </c:title>
        <c:numFmt formatCode="General" sourceLinked="1"/>
        <c:tickLblPos val="nextTo"/>
        <c:crossAx val="66679552"/>
        <c:crosses val="autoZero"/>
        <c:crossBetween val="midCat"/>
      </c:valAx>
      <c:valAx>
        <c:axId val="66679552"/>
        <c:scaling>
          <c:orientation val="minMax"/>
        </c:scaling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ko-KR" altLang="en-US"/>
                  <a:t>각도</a:t>
                </a:r>
                <a:r>
                  <a:rPr lang="en-US" altLang="ko-KR"/>
                  <a:t>(</a:t>
                </a:r>
                <a:r>
                  <a:rPr lang="en-US" altLang="ko-KR">
                    <a:latin typeface="굴림"/>
                    <a:ea typeface="굴림"/>
                  </a:rPr>
                  <a:t>°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layout/>
        </c:title>
        <c:numFmt formatCode="General" sourceLinked="1"/>
        <c:tickLblPos val="nextTo"/>
        <c:crossAx val="666606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'질량과 저항에 따른 진자의 진동 변화'!$G$38:$G$238</c:f>
              <c:numCache>
                <c:formatCode>General</c:formatCode>
                <c:ptCount val="201"/>
                <c:pt idx="0">
                  <c:v>35</c:v>
                </c:pt>
                <c:pt idx="1">
                  <c:v>32.713333333333331</c:v>
                </c:pt>
                <c:pt idx="2">
                  <c:v>28.523259191919188</c:v>
                </c:pt>
                <c:pt idx="3">
                  <c:v>22.898195759883681</c:v>
                </c:pt>
                <c:pt idx="4">
                  <c:v>16.35240744981213</c:v>
                </c:pt>
                <c:pt idx="5">
                  <c:v>9.4077174756404744</c:v>
                </c:pt>
                <c:pt idx="6">
                  <c:v>2.5586423434490762</c:v>
                </c:pt>
                <c:pt idx="7">
                  <c:v>-3.7571238287826318</c:v>
                </c:pt>
                <c:pt idx="8">
                  <c:v>-9.1814939462829059</c:v>
                </c:pt>
                <c:pt idx="9">
                  <c:v>-13.45124133363926</c:v>
                </c:pt>
                <c:pt idx="10">
                  <c:v>-16.405495577127311</c:v>
                </c:pt>
                <c:pt idx="11">
                  <c:v>-17.985784471037828</c:v>
                </c:pt>
                <c:pt idx="12">
                  <c:v>-18.229381657781509</c:v>
                </c:pt>
                <c:pt idx="13">
                  <c:v>-17.257079227572557</c:v>
                </c:pt>
                <c:pt idx="14">
                  <c:v>-15.256754309100234</c:v>
                </c:pt>
                <c:pt idx="15">
                  <c:v>-12.464233460610457</c:v>
                </c:pt>
                <c:pt idx="16">
                  <c:v>-9.1429814158351288</c:v>
                </c:pt>
                <c:pt idx="17">
                  <c:v>-5.5640614231378667</c:v>
                </c:pt>
                <c:pt idx="18">
                  <c:v>-1.9876486591396358</c:v>
                </c:pt>
                <c:pt idx="19">
                  <c:v>1.352854330028626</c:v>
                </c:pt>
                <c:pt idx="20">
                  <c:v>4.2633284851367481</c:v>
                </c:pt>
                <c:pt idx="21">
                  <c:v>6.5976030497162412</c:v>
                </c:pt>
                <c:pt idx="22">
                  <c:v>8.262101589124704</c:v>
                </c:pt>
                <c:pt idx="23">
                  <c:v>9.2165766862102441</c:v>
                </c:pt>
                <c:pt idx="24">
                  <c:v>9.4712853351705419</c:v>
                </c:pt>
                <c:pt idx="25">
                  <c:v>9.0811535940439096</c:v>
                </c:pt>
                <c:pt idx="26">
                  <c:v>8.1376196552670876</c:v>
                </c:pt>
                <c:pt idx="27">
                  <c:v>6.758925688205899</c:v>
                </c:pt>
                <c:pt idx="28">
                  <c:v>5.0796513682677285</c:v>
                </c:pt>
                <c:pt idx="29">
                  <c:v>3.2402504568085306</c:v>
                </c:pt>
                <c:pt idx="30">
                  <c:v>1.3772737299340481</c:v>
                </c:pt>
                <c:pt idx="31">
                  <c:v>-0.38515316992638704</c:v>
                </c:pt>
                <c:pt idx="32">
                  <c:v>-1.9421685236840871</c:v>
                </c:pt>
                <c:pt idx="33">
                  <c:v>-3.2130553272601166</c:v>
                </c:pt>
                <c:pt idx="34">
                  <c:v>-4.1440454566651788</c:v>
                </c:pt>
                <c:pt idx="35">
                  <c:v>-4.7090763833032048</c:v>
                </c:pt>
                <c:pt idx="36">
                  <c:v>-4.9086603990380473</c:v>
                </c:pt>
                <c:pt idx="37">
                  <c:v>-4.7671332670931585</c:v>
                </c:pt>
                <c:pt idx="38">
                  <c:v>-4.3286277941319407</c:v>
                </c:pt>
                <c:pt idx="39">
                  <c:v>-3.6521657892645303</c:v>
                </c:pt>
                <c:pt idx="40">
                  <c:v>-2.806279233632671</c:v>
                </c:pt>
                <c:pt idx="41">
                  <c:v>-1.8635602264112809</c:v>
                </c:pt>
                <c:pt idx="42">
                  <c:v>-0.89550306165138993</c:v>
                </c:pt>
                <c:pt idx="43">
                  <c:v>3.2054456740494008E-2</c:v>
                </c:pt>
                <c:pt idx="44">
                  <c:v>0.86265391351707144</c:v>
                </c:pt>
                <c:pt idx="45">
                  <c:v>1.5519456428947471</c:v>
                </c:pt>
                <c:pt idx="46">
                  <c:v>2.0693478452199763</c:v>
                </c:pt>
                <c:pt idx="47">
                  <c:v>2.3986365206621172</c:v>
                </c:pt>
                <c:pt idx="48">
                  <c:v>2.5375370258568415</c:v>
                </c:pt>
                <c:pt idx="49">
                  <c:v>2.4964460452097614</c:v>
                </c:pt>
                <c:pt idx="50">
                  <c:v>2.296456409599398</c:v>
                </c:pt>
                <c:pt idx="51">
                  <c:v>1.9668851073553579</c:v>
                </c:pt>
                <c:pt idx="52">
                  <c:v>1.5425168006754233</c:v>
                </c:pt>
                <c:pt idx="53">
                  <c:v>1.0607720337769604</c:v>
                </c:pt>
                <c:pt idx="54">
                  <c:v>0.55899284516513947</c:v>
                </c:pt>
                <c:pt idx="55">
                  <c:v>7.2011116777223216E-2</c:v>
                </c:pt>
                <c:pt idx="56">
                  <c:v>-0.36987038841258624</c:v>
                </c:pt>
                <c:pt idx="57">
                  <c:v>-0.74239460155896708</c:v>
                </c:pt>
                <c:pt idx="58">
                  <c:v>-1.0283166334832217</c:v>
                </c:pt>
                <c:pt idx="59">
                  <c:v>-1.2178132860276525</c:v>
                </c:pt>
                <c:pt idx="60">
                  <c:v>-1.3083657977535053</c:v>
                </c:pt>
                <c:pt idx="61">
                  <c:v>-1.3041773583571972</c:v>
                </c:pt>
                <c:pt idx="62">
                  <c:v>-1.2152110280016291</c:v>
                </c:pt>
                <c:pt idx="63">
                  <c:v>-1.0559497397241981</c:v>
                </c:pt>
                <c:pt idx="64">
                  <c:v>-0.84398782141922057</c:v>
                </c:pt>
                <c:pt idx="65">
                  <c:v>-0.59856328891119626</c:v>
                </c:pt>
                <c:pt idx="66">
                  <c:v>-0.33913285780687025</c:v>
                </c:pt>
                <c:pt idx="67">
                  <c:v>-8.4078404385740879E-2</c:v>
                </c:pt>
                <c:pt idx="68">
                  <c:v>0.15038405690082324</c:v>
                </c:pt>
                <c:pt idx="69">
                  <c:v>0.35104231111101375</c:v>
                </c:pt>
                <c:pt idx="70">
                  <c:v>0.5082439340874243</c:v>
                </c:pt>
                <c:pt idx="71">
                  <c:v>0.61616284798995991</c:v>
                </c:pt>
                <c:pt idx="72">
                  <c:v>0.67278862750802848</c:v>
                </c:pt>
                <c:pt idx="73">
                  <c:v>0.67966761045698221</c:v>
                </c:pt>
                <c:pt idx="74">
                  <c:v>0.64143811050902766</c:v>
                </c:pt>
                <c:pt idx="75">
                  <c:v>0.56521115589643323</c:v>
                </c:pt>
                <c:pt idx="76">
                  <c:v>0.45985301097186287</c:v>
                </c:pt>
                <c:pt idx="77">
                  <c:v>0.33522640081896188</c:v>
                </c:pt>
                <c:pt idx="78">
                  <c:v>0.20144423579031417</c:v>
                </c:pt>
                <c:pt idx="79">
                  <c:v>6.8183314234629144E-2</c:v>
                </c:pt>
                <c:pt idx="80">
                  <c:v>-5.5903292631341459E-2</c:v>
                </c:pt>
                <c:pt idx="81">
                  <c:v>-0.16364687534319622</c:v>
                </c:pt>
                <c:pt idx="82">
                  <c:v>-0.2496796321492194</c:v>
                </c:pt>
                <c:pt idx="83">
                  <c:v>-0.31060118164815032</c:v>
                </c:pt>
                <c:pt idx="84">
                  <c:v>-0.34499950759579928</c:v>
                </c:pt>
                <c:pt idx="85">
                  <c:v>-0.35333985510557375</c:v>
                </c:pt>
                <c:pt idx="86">
                  <c:v>-0.33774234199555714</c:v>
                </c:pt>
                <c:pt idx="87">
                  <c:v>-0.30167419607959761</c:v>
                </c:pt>
                <c:pt idx="88">
                  <c:v>-0.24958545700360024</c:v>
                </c:pt>
                <c:pt idx="89">
                  <c:v>-0.18651772547553405</c:v>
                </c:pt>
                <c:pt idx="90">
                  <c:v>-0.11771427812267914</c:v>
                </c:pt>
                <c:pt idx="91">
                  <c:v>-4.8256880805684493E-2</c:v>
                </c:pt>
                <c:pt idx="92">
                  <c:v>1.7249701937740419E-2</c:v>
                </c:pt>
                <c:pt idx="93">
                  <c:v>7.4929767283079651E-2</c:v>
                </c:pt>
                <c:pt idx="94">
                  <c:v>0.12181532357378738</c:v>
                </c:pt>
                <c:pt idx="95">
                  <c:v>0.15594716501279135</c:v>
                </c:pt>
                <c:pt idx="96">
                  <c:v>0.17639970182681905</c:v>
                </c:pt>
                <c:pt idx="97">
                  <c:v>0.1832357214018781</c:v>
                </c:pt>
                <c:pt idx="98">
                  <c:v>0.17740120214638341</c:v>
                </c:pt>
                <c:pt idx="99">
                  <c:v>0.16057318321390968</c:v>
                </c:pt>
                <c:pt idx="100">
                  <c:v>0.13497543036894835</c:v>
                </c:pt>
                <c:pt idx="101">
                  <c:v>0.10317723473538981</c:v>
                </c:pt>
                <c:pt idx="102">
                  <c:v>6.7890214622248229E-2</c:v>
                </c:pt>
                <c:pt idx="103">
                  <c:v>3.1776600271418334E-2</c:v>
                </c:pt>
                <c:pt idx="104">
                  <c:v>-2.7196474658093481E-3</c:v>
                </c:pt>
                <c:pt idx="105">
                  <c:v>-3.351018623184223E-2</c:v>
                </c:pt>
                <c:pt idx="106">
                  <c:v>-5.8962360456929271E-2</c:v>
                </c:pt>
                <c:pt idx="107">
                  <c:v>-7.7959263859143341E-2</c:v>
                </c:pt>
                <c:pt idx="108">
                  <c:v>-8.9919963568545716E-2</c:v>
                </c:pt>
                <c:pt idx="109">
                  <c:v>-9.4782638945432401E-2</c:v>
                </c:pt>
                <c:pt idx="110">
                  <c:v>-9.2955529505248033E-2</c:v>
                </c:pt>
                <c:pt idx="111">
                  <c:v>-8.5242188936194202E-2</c:v>
                </c:pt>
                <c:pt idx="112">
                  <c:v>-7.274855639968951E-2</c:v>
                </c:pt>
                <c:pt idx="113">
                  <c:v>-5.6779776051456718E-2</c:v>
                </c:pt>
                <c:pt idx="114">
                  <c:v>-3.8734554385294995E-2</c:v>
                </c:pt>
                <c:pt idx="115">
                  <c:v>-2.0004209199999928E-2</c:v>
                </c:pt>
                <c:pt idx="116">
                  <c:v>-1.8825258318312561E-3</c:v>
                </c:pt>
                <c:pt idx="117">
                  <c:v>1.4508795243181626E-2</c:v>
                </c:pt>
                <c:pt idx="118">
                  <c:v>2.8275823252362144E-2</c:v>
                </c:pt>
                <c:pt idx="119">
                  <c:v>3.8787505974782747E-2</c:v>
                </c:pt>
                <c:pt idx="120">
                  <c:v>4.569001317993665E-2</c:v>
                </c:pt>
                <c:pt idx="121">
                  <c:v>4.890150128711062E-2</c:v>
                </c:pt>
                <c:pt idx="122">
                  <c:v>4.8589643662868748E-2</c:v>
                </c:pt>
                <c:pt idx="123">
                  <c:v>4.5135157182404795E-2</c:v>
                </c:pt>
                <c:pt idx="124">
                  <c:v>3.9085140186374212E-2</c:v>
                </c:pt>
                <c:pt idx="125">
                  <c:v>3.1100312436397576E-2</c:v>
                </c:pt>
                <c:pt idx="126">
                  <c:v>2.1900227718036031E-2</c:v>
                </c:pt>
                <c:pt idx="127">
                  <c:v>1.2210245877383109E-2</c:v>
                </c:pt>
                <c:pt idx="128">
                  <c:v>2.7135488428079325E-3</c:v>
                </c:pt>
                <c:pt idx="129">
                  <c:v>-5.9891802770218709E-3</c:v>
                </c:pt>
                <c:pt idx="130">
                  <c:v>-1.3410564443618801E-2</c:v>
                </c:pt>
                <c:pt idx="131">
                  <c:v>-1.9196786534376134E-2</c:v>
                </c:pt>
                <c:pt idx="132">
                  <c:v>-2.313704585772677E-2</c:v>
                </c:pt>
                <c:pt idx="133">
                  <c:v>-2.5162703784545062E-2</c:v>
                </c:pt>
              </c:numCache>
            </c:numRef>
          </c:xVal>
          <c:yVal>
            <c:numRef>
              <c:f>'질량과 저항에 따른 진자의 진동 변화'!$H$38:$H$238</c:f>
              <c:numCache>
                <c:formatCode>General</c:formatCode>
                <c:ptCount val="201"/>
                <c:pt idx="0">
                  <c:v>0</c:v>
                </c:pt>
                <c:pt idx="1">
                  <c:v>-22.866666666666671</c:v>
                </c:pt>
                <c:pt idx="2">
                  <c:v>-41.900741414141422</c:v>
                </c:pt>
                <c:pt idx="3">
                  <c:v>-56.250634320355068</c:v>
                </c:pt>
                <c:pt idx="4">
                  <c:v>-65.457883100715492</c:v>
                </c:pt>
                <c:pt idx="5">
                  <c:v>-69.44689974171655</c:v>
                </c:pt>
                <c:pt idx="6">
                  <c:v>-68.490751321913976</c:v>
                </c:pt>
                <c:pt idx="7">
                  <c:v>-63.15766172231708</c:v>
                </c:pt>
                <c:pt idx="8">
                  <c:v>-54.243701175002727</c:v>
                </c:pt>
                <c:pt idx="9">
                  <c:v>-42.697473873563524</c:v>
                </c:pt>
                <c:pt idx="10">
                  <c:v>-29.542542434880509</c:v>
                </c:pt>
                <c:pt idx="11">
                  <c:v>-15.802888939105157</c:v>
                </c:pt>
                <c:pt idx="12">
                  <c:v>-2.4359718674368089</c:v>
                </c:pt>
                <c:pt idx="13">
                  <c:v>9.7230243020895131</c:v>
                </c:pt>
                <c:pt idx="14">
                  <c:v>20.00324918472322</c:v>
                </c:pt>
                <c:pt idx="15">
                  <c:v>27.925208484897773</c:v>
                </c:pt>
                <c:pt idx="16">
                  <c:v>33.212520447753278</c:v>
                </c:pt>
                <c:pt idx="17">
                  <c:v>35.789199926972614</c:v>
                </c:pt>
                <c:pt idx="18">
                  <c:v>35.764127639982306</c:v>
                </c:pt>
                <c:pt idx="19">
                  <c:v>33.405029891682616</c:v>
                </c:pt>
                <c:pt idx="20">
                  <c:v>29.104741551081222</c:v>
                </c:pt>
                <c:pt idx="21">
                  <c:v>23.342745645794935</c:v>
                </c:pt>
                <c:pt idx="22">
                  <c:v>16.644985394084628</c:v>
                </c:pt>
                <c:pt idx="23">
                  <c:v>9.5447509708554072</c:v>
                </c:pt>
                <c:pt idx="24">
                  <c:v>2.5470864896029868</c:v>
                </c:pt>
                <c:pt idx="25">
                  <c:v>-3.9013174112663167</c:v>
                </c:pt>
                <c:pt idx="26">
                  <c:v>-9.4353393877682237</c:v>
                </c:pt>
                <c:pt idx="27">
                  <c:v>-13.786939670611881</c:v>
                </c:pt>
                <c:pt idx="28">
                  <c:v>-16.792743199381704</c:v>
                </c:pt>
                <c:pt idx="29">
                  <c:v>-18.394009114591977</c:v>
                </c:pt>
                <c:pt idx="30">
                  <c:v>-18.629767268744825</c:v>
                </c:pt>
                <c:pt idx="31">
                  <c:v>-17.62426899860435</c:v>
                </c:pt>
                <c:pt idx="32">
                  <c:v>-15.570153537576999</c:v>
                </c:pt>
                <c:pt idx="33">
                  <c:v>-12.708868035760293</c:v>
                </c:pt>
                <c:pt idx="34">
                  <c:v>-9.3099012940506238</c:v>
                </c:pt>
                <c:pt idx="35">
                  <c:v>-5.6503092663802565</c:v>
                </c:pt>
                <c:pt idx="36">
                  <c:v>-1.9958401573484239</c:v>
                </c:pt>
                <c:pt idx="37">
                  <c:v>1.4152713194488871</c:v>
                </c:pt>
                <c:pt idx="38">
                  <c:v>4.3850547296121754</c:v>
                </c:pt>
                <c:pt idx="39">
                  <c:v>6.7646200486741019</c:v>
                </c:pt>
                <c:pt idx="40">
                  <c:v>8.4588655563185924</c:v>
                </c:pt>
                <c:pt idx="41">
                  <c:v>9.4271900722139002</c:v>
                </c:pt>
                <c:pt idx="42">
                  <c:v>9.6805716475989101</c:v>
                </c:pt>
                <c:pt idx="43">
                  <c:v>9.2755751839188392</c:v>
                </c:pt>
                <c:pt idx="44">
                  <c:v>8.3059945677657741</c:v>
                </c:pt>
                <c:pt idx="45">
                  <c:v>6.8929172937767573</c:v>
                </c:pt>
                <c:pt idx="46">
                  <c:v>5.1740220232522933</c:v>
                </c:pt>
                <c:pt idx="47">
                  <c:v>3.2928867544214091</c:v>
                </c:pt>
                <c:pt idx="48">
                  <c:v>1.3890050519472421</c:v>
                </c:pt>
                <c:pt idx="49">
                  <c:v>-0.41090980647080189</c:v>
                </c:pt>
                <c:pt idx="50">
                  <c:v>-1.9998963561036356</c:v>
                </c:pt>
                <c:pt idx="51">
                  <c:v>-3.2957130224404008</c:v>
                </c:pt>
                <c:pt idx="52">
                  <c:v>-4.2436830667993455</c:v>
                </c:pt>
                <c:pt idx="53">
                  <c:v>-4.8174476689846282</c:v>
                </c:pt>
                <c:pt idx="54">
                  <c:v>-5.0177918861182089</c:v>
                </c:pt>
                <c:pt idx="55">
                  <c:v>-4.8698172838791622</c:v>
                </c:pt>
                <c:pt idx="56">
                  <c:v>-4.4188150518980942</c:v>
                </c:pt>
                <c:pt idx="57">
                  <c:v>-3.7252421314638084</c:v>
                </c:pt>
                <c:pt idx="58">
                  <c:v>-2.8592203192425454</c:v>
                </c:pt>
                <c:pt idx="59">
                  <c:v>-1.8949665254443073</c:v>
                </c:pt>
                <c:pt idx="60">
                  <c:v>-0.90552511725852769</c:v>
                </c:pt>
                <c:pt idx="61">
                  <c:v>4.1884393963081634E-2</c:v>
                </c:pt>
                <c:pt idx="62">
                  <c:v>0.88966330355568091</c:v>
                </c:pt>
                <c:pt idx="63">
                  <c:v>1.5926128827743082</c:v>
                </c:pt>
                <c:pt idx="64">
                  <c:v>2.1196191830497755</c:v>
                </c:pt>
                <c:pt idx="65">
                  <c:v>2.4542453250802425</c:v>
                </c:pt>
                <c:pt idx="66">
                  <c:v>2.5943043110432598</c:v>
                </c:pt>
                <c:pt idx="67">
                  <c:v>2.5505445342112938</c:v>
                </c:pt>
                <c:pt idx="68">
                  <c:v>2.3446246128656409</c:v>
                </c:pt>
                <c:pt idx="69">
                  <c:v>2.006582542101905</c:v>
                </c:pt>
                <c:pt idx="70">
                  <c:v>1.5720162297641054</c:v>
                </c:pt>
                <c:pt idx="71">
                  <c:v>1.0791891390253561</c:v>
                </c:pt>
                <c:pt idx="72">
                  <c:v>0.56625779518068597</c:v>
                </c:pt>
                <c:pt idx="73">
                  <c:v>6.8789829489537047E-2</c:v>
                </c:pt>
                <c:pt idx="74">
                  <c:v>-0.38229499947954548</c:v>
                </c:pt>
                <c:pt idx="75">
                  <c:v>-0.76226954612594466</c:v>
                </c:pt>
                <c:pt idx="76">
                  <c:v>-1.0535814492457034</c:v>
                </c:pt>
                <c:pt idx="77">
                  <c:v>-1.24626610152901</c:v>
                </c:pt>
                <c:pt idx="78">
                  <c:v>-1.337821650286477</c:v>
                </c:pt>
                <c:pt idx="79">
                  <c:v>-1.3326092155568503</c:v>
                </c:pt>
                <c:pt idx="80">
                  <c:v>-1.2408660686597059</c:v>
                </c:pt>
                <c:pt idx="81">
                  <c:v>-1.0774358271185474</c:v>
                </c:pt>
                <c:pt idx="82">
                  <c:v>-0.86032756806023192</c:v>
                </c:pt>
                <c:pt idx="83">
                  <c:v>-0.60921549498930916</c:v>
                </c:pt>
                <c:pt idx="84">
                  <c:v>-0.34398325947648972</c:v>
                </c:pt>
                <c:pt idx="85">
                  <c:v>-8.340347509774465E-2</c:v>
                </c:pt>
                <c:pt idx="86">
                  <c:v>0.1559751311001662</c:v>
                </c:pt>
                <c:pt idx="87">
                  <c:v>0.3606814591595951</c:v>
                </c:pt>
                <c:pt idx="88">
                  <c:v>0.52088739075997359</c:v>
                </c:pt>
                <c:pt idx="89">
                  <c:v>0.63067731528066184</c:v>
                </c:pt>
                <c:pt idx="90">
                  <c:v>0.68803447352854918</c:v>
                </c:pt>
                <c:pt idx="91">
                  <c:v>0.6945739731699464</c:v>
                </c:pt>
                <c:pt idx="92">
                  <c:v>0.65506582743424913</c:v>
                </c:pt>
                <c:pt idx="93">
                  <c:v>0.57680065345339226</c:v>
                </c:pt>
                <c:pt idx="94">
                  <c:v>0.46885556290707725</c:v>
                </c:pt>
                <c:pt idx="95">
                  <c:v>0.34131841439003963</c:v>
                </c:pt>
                <c:pt idx="96">
                  <c:v>0.20452536814027703</c:v>
                </c:pt>
                <c:pt idx="97">
                  <c:v>6.8360195750590519E-2</c:v>
                </c:pt>
                <c:pt idx="98">
                  <c:v>-5.8345192554946912E-2</c:v>
                </c:pt>
                <c:pt idx="99">
                  <c:v>-0.16828018932473726</c:v>
                </c:pt>
                <c:pt idx="100">
                  <c:v>-0.25597752844961319</c:v>
                </c:pt>
                <c:pt idx="101">
                  <c:v>-0.31798195633558535</c:v>
                </c:pt>
                <c:pt idx="102">
                  <c:v>-0.35287020113141576</c:v>
                </c:pt>
                <c:pt idx="103">
                  <c:v>-0.36113614350829892</c:v>
                </c:pt>
                <c:pt idx="104">
                  <c:v>-0.34496247737227681</c:v>
                </c:pt>
                <c:pt idx="105">
                  <c:v>-0.30790538766032882</c:v>
                </c:pt>
                <c:pt idx="106">
                  <c:v>-0.25452174225087038</c:v>
                </c:pt>
                <c:pt idx="107">
                  <c:v>-0.1899690340221406</c:v>
                </c:pt>
                <c:pt idx="108">
                  <c:v>-0.11960699709402378</c:v>
                </c:pt>
                <c:pt idx="109">
                  <c:v>-4.8626753768866923E-2</c:v>
                </c:pt>
                <c:pt idx="110">
                  <c:v>1.8271094401843643E-2</c:v>
                </c:pt>
                <c:pt idx="111">
                  <c:v>7.7133405690538365E-2</c:v>
                </c:pt>
                <c:pt idx="112">
                  <c:v>0.12493632536504687</c:v>
                </c:pt>
                <c:pt idx="113">
                  <c:v>0.15968780348232786</c:v>
                </c:pt>
                <c:pt idx="114">
                  <c:v>0.18045221666161726</c:v>
                </c:pt>
                <c:pt idx="115">
                  <c:v>0.18730345185295066</c:v>
                </c:pt>
                <c:pt idx="116">
                  <c:v>0.18121683368168673</c:v>
                </c:pt>
                <c:pt idx="117">
                  <c:v>0.16391321075012882</c:v>
                </c:pt>
                <c:pt idx="118">
                  <c:v>0.13767028009180515</c:v>
                </c:pt>
                <c:pt idx="119">
                  <c:v>0.10511682722420605</c:v>
                </c:pt>
                <c:pt idx="120">
                  <c:v>6.9025072051539044E-2</c:v>
                </c:pt>
                <c:pt idx="121">
                  <c:v>3.2114881071739688E-2</c:v>
                </c:pt>
                <c:pt idx="122">
                  <c:v>-3.1185762424186941E-3</c:v>
                </c:pt>
                <c:pt idx="123">
                  <c:v>-3.4544864804639516E-2</c:v>
                </c:pt>
                <c:pt idx="124">
                  <c:v>-6.0500169960305855E-2</c:v>
                </c:pt>
                <c:pt idx="125">
                  <c:v>-7.9848277499766335E-2</c:v>
                </c:pt>
                <c:pt idx="126">
                  <c:v>-9.2000847183615439E-2</c:v>
                </c:pt>
                <c:pt idx="127">
                  <c:v>-9.6899818406529226E-2</c:v>
                </c:pt>
                <c:pt idx="128">
                  <c:v>-9.4966970345751758E-2</c:v>
                </c:pt>
                <c:pt idx="129">
                  <c:v>-8.7027291198298024E-2</c:v>
                </c:pt>
                <c:pt idx="130">
                  <c:v>-7.421384166596931E-2</c:v>
                </c:pt>
                <c:pt idx="131">
                  <c:v>-5.7862220907573314E-2</c:v>
                </c:pt>
                <c:pt idx="132">
                  <c:v>-3.940259323350636E-2</c:v>
                </c:pt>
                <c:pt idx="133">
                  <c:v>-2.0256579268182928E-2</c:v>
                </c:pt>
              </c:numCache>
            </c:numRef>
          </c:yVal>
          <c:smooth val="1"/>
        </c:ser>
        <c:axId val="66711936"/>
        <c:axId val="66713856"/>
      </c:scatterChart>
      <c:valAx>
        <c:axId val="66711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각도</a:t>
                </a:r>
                <a:r>
                  <a:rPr lang="en-US" altLang="ko-KR"/>
                  <a:t>(</a:t>
                </a:r>
                <a:r>
                  <a:rPr lang="en-US" altLang="ko-KR">
                    <a:latin typeface="굴림"/>
                    <a:ea typeface="굴림"/>
                  </a:rPr>
                  <a:t>°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0.40254401126688438"/>
              <c:y val="0.80057283488059183"/>
            </c:manualLayout>
          </c:layout>
        </c:title>
        <c:numFmt formatCode="General" sourceLinked="1"/>
        <c:tickLblPos val="nextTo"/>
        <c:crossAx val="66713856"/>
        <c:crosses val="autoZero"/>
        <c:crossBetween val="midCat"/>
      </c:valAx>
      <c:valAx>
        <c:axId val="66713856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ko-KR" altLang="en-US"/>
                  <a:t>속력</a:t>
                </a:r>
                <a:endParaRPr lang="en-US" altLang="ko-KR"/>
              </a:p>
              <a:p>
                <a:pPr>
                  <a:defRPr/>
                </a:pPr>
                <a:r>
                  <a:rPr lang="en-US" altLang="ko-KR"/>
                  <a:t>(Rad/s)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1.6260162601626021E-2"/>
              <c:y val="0.29124109712971502"/>
            </c:manualLayout>
          </c:layout>
        </c:title>
        <c:numFmt formatCode="General" sourceLinked="1"/>
        <c:tickLblPos val="nextTo"/>
        <c:crossAx val="66711936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lineMarker"/>
        <c:ser>
          <c:idx val="0"/>
          <c:order val="0"/>
          <c:tx>
            <c:v>각도</c:v>
          </c:tx>
          <c:marker>
            <c:symbol val="none"/>
          </c:marker>
          <c:xVal>
            <c:numRef>
              <c:f>'실의 길이와 저항에 따른 진자의 진동 변화'!$B$38:$B$238</c:f>
              <c:numCache>
                <c:formatCode>General</c:formatCode>
                <c:ptCount val="2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</c:numCache>
            </c:numRef>
          </c:xVal>
          <c:yVal>
            <c:numRef>
              <c:f>'실의 길이와 저항에 따른 진자의 진동 변화'!$C$38:$C$238</c:f>
              <c:numCache>
                <c:formatCode>General</c:formatCode>
                <c:ptCount val="201"/>
                <c:pt idx="0">
                  <c:v>35</c:v>
                </c:pt>
                <c:pt idx="1">
                  <c:v>27.312127399009228</c:v>
                </c:pt>
                <c:pt idx="2">
                  <c:v>21.312188451574933</c:v>
                </c:pt>
                <c:pt idx="3">
                  <c:v>16.629745285970611</c:v>
                </c:pt>
                <c:pt idx="4">
                  <c:v>12.975621709302802</c:v>
                </c:pt>
                <c:pt idx="5">
                  <c:v>10.124084917506952</c:v>
                </c:pt>
                <c:pt idx="6">
                  <c:v>7.8989325136954447</c:v>
                </c:pt>
                <c:pt idx="7">
                  <c:v>6.1626292702865273</c:v>
                </c:pt>
                <c:pt idx="8">
                  <c:v>4.8078254219033267</c:v>
                </c:pt>
                <c:pt idx="9">
                  <c:v>3.7507346196835307</c:v>
                </c:pt>
                <c:pt idx="10">
                  <c:v>2.9259639852383872</c:v>
                </c:pt>
                <c:pt idx="11">
                  <c:v>2.2824779838967939</c:v>
                </c:pt>
                <c:pt idx="12">
                  <c:v>1.7804475687789223</c:v>
                </c:pt>
                <c:pt idx="13">
                  <c:v>1.3887905083989469</c:v>
                </c:pt>
                <c:pt idx="14">
                  <c:v>1.0814508368082827</c:v>
                </c:pt>
                <c:pt idx="15">
                  <c:v>0.84374295781814324</c:v>
                </c:pt>
                <c:pt idx="16">
                  <c:v>0.65829745124324635</c:v>
                </c:pt>
                <c:pt idx="17">
                  <c:v>0.51362104878833204</c:v>
                </c:pt>
                <c:pt idx="18">
                  <c:v>0.40074865597760256</c:v>
                </c:pt>
                <c:pt idx="19">
                  <c:v>0.31268709027459712</c:v>
                </c:pt>
                <c:pt idx="20">
                  <c:v>0.24398124152721912</c:v>
                </c:pt>
                <c:pt idx="21">
                  <c:v>0.19037570523133132</c:v>
                </c:pt>
                <c:pt idx="22">
                  <c:v>0.14855087313642037</c:v>
                </c:pt>
                <c:pt idx="23">
                  <c:v>0.11591709280221243</c:v>
                </c:pt>
                <c:pt idx="24">
                  <c:v>9.0454115776598176E-2</c:v>
                </c:pt>
                <c:pt idx="25">
                  <c:v>7.0585867578584441E-2</c:v>
                </c:pt>
                <c:pt idx="26">
                  <c:v>5.5082766650124702E-2</c:v>
                </c:pt>
                <c:pt idx="27">
                  <c:v>4.2985530342340622E-2</c:v>
                </c:pt>
                <c:pt idx="28">
                  <c:v>3.3545740217397153E-2</c:v>
                </c:pt>
                <c:pt idx="29">
                  <c:v>2.6179479432087364E-2</c:v>
                </c:pt>
                <c:pt idx="30">
                  <c:v>2.0431166404811775E-2</c:v>
                </c:pt>
                <c:pt idx="31">
                  <c:v>1.5945341788915945E-2</c:v>
                </c:pt>
                <c:pt idx="32">
                  <c:v>1.2444659308967387E-2</c:v>
                </c:pt>
                <c:pt idx="33">
                  <c:v>9.7127159282196073E-3</c:v>
                </c:pt>
                <c:pt idx="34">
                  <c:v>7.5806570178558689E-3</c:v>
                </c:pt>
                <c:pt idx="35">
                  <c:v>5.9167263386800941E-3</c:v>
                </c:pt>
                <c:pt idx="36">
                  <c:v>4.6181132649811361E-3</c:v>
                </c:pt>
                <c:pt idx="37">
                  <c:v>3.6045921180500907E-3</c:v>
                </c:pt>
                <c:pt idx="38">
                  <c:v>2.8135595765095642E-3</c:v>
                </c:pt>
                <c:pt idx="39">
                  <c:v>2.1961627887136402E-3</c:v>
                </c:pt>
                <c:pt idx="40">
                  <c:v>1.7142784074182273E-3</c:v>
                </c:pt>
                <c:pt idx="41">
                  <c:v>1.3381554932935678E-3</c:v>
                </c:pt>
                <c:pt idx="42">
                  <c:v>1.0445763630500386E-3</c:v>
                </c:pt>
                <c:pt idx="43">
                  <c:v>8.154215414149774E-4</c:v>
                </c:pt>
                <c:pt idx="44">
                  <c:v>6.3655000390074794E-4</c:v>
                </c:pt>
                <c:pt idx="45">
                  <c:v>4.9692542132846566E-4</c:v>
                </c:pt>
                <c:pt idx="46">
                  <c:v>3.8793434799945487E-4</c:v>
                </c:pt>
                <c:pt idx="47">
                  <c:v>3.028541774742365E-4</c:v>
                </c:pt>
                <c:pt idx="48">
                  <c:v>2.3643795963308281E-4</c:v>
                </c:pt>
                <c:pt idx="49">
                  <c:v>1.8459040454061058E-4</c:v>
                </c:pt>
                <c:pt idx="50">
                  <c:v>1.4411504073883591E-4</c:v>
                </c:pt>
                <c:pt idx="51">
                  <c:v>1.1251689750334819E-4</c:v>
                </c:pt>
                <c:pt idx="52">
                  <c:v>8.7848514990884657E-5</c:v>
                </c:pt>
                <c:pt idx="53">
                  <c:v>6.8589765791879931E-5</c:v>
                </c:pt>
                <c:pt idx="54">
                  <c:v>5.3554062111221564E-5</c:v>
                </c:pt>
                <c:pt idx="55">
                  <c:v>4.1815154080332801E-5</c:v>
                </c:pt>
                <c:pt idx="56">
                  <c:v>3.2649997537952481E-5</c:v>
                </c:pt>
                <c:pt idx="57">
                  <c:v>2.5494162787511519E-5</c:v>
                </c:pt>
                <c:pt idx="58">
                  <c:v>1.9907030808126684E-5</c:v>
                </c:pt>
                <c:pt idx="59">
                  <c:v>1.5544628115156416E-5</c:v>
                </c:pt>
                <c:pt idx="60">
                  <c:v>1.2138423345975513E-5</c:v>
                </c:pt>
                <c:pt idx="61">
                  <c:v>9.4787768753189967E-6</c:v>
                </c:pt>
                <c:pt idx="62">
                  <c:v>7.402022115414534E-6</c:v>
                </c:pt>
                <c:pt idx="63">
                  <c:v>5.7803813976083974E-6</c:v>
                </c:pt>
                <c:pt idx="64">
                  <c:v>4.5140943281239593E-6</c:v>
                </c:pt>
                <c:pt idx="65">
                  <c:v>3.525273078448827E-6</c:v>
                </c:pt>
                <c:pt idx="66">
                  <c:v>2.2859784892204899E-6</c:v>
                </c:pt>
                <c:pt idx="67">
                  <c:v>1.7778913190064359E-6</c:v>
                </c:pt>
                <c:pt idx="68">
                  <c:v>1.3827026576763788E-6</c:v>
                </c:pt>
                <c:pt idx="69">
                  <c:v>1.0753327622281898E-6</c:v>
                </c:pt>
                <c:pt idx="70">
                  <c:v>8.3627174347934148E-7</c:v>
                </c:pt>
                <c:pt idx="71">
                  <c:v>3.0099164799708145E-5</c:v>
                </c:pt>
                <c:pt idx="72">
                  <c:v>2.4785679858882143E-5</c:v>
                </c:pt>
                <c:pt idx="73">
                  <c:v>2.0411339045653926E-5</c:v>
                </c:pt>
                <c:pt idx="74">
                  <c:v>1.6809940264996137E-5</c:v>
                </c:pt>
                <c:pt idx="75">
                  <c:v>1.3844733467464951E-5</c:v>
                </c:pt>
                <c:pt idx="76">
                  <c:v>1.1403194379392704E-5</c:v>
                </c:pt>
                <c:pt idx="77">
                  <c:v>9.3927269587284175E-6</c:v>
                </c:pt>
                <c:pt idx="78">
                  <c:v>7.7371292954500575E-6</c:v>
                </c:pt>
                <c:pt idx="79">
                  <c:v>6.3736871345050813E-6</c:v>
                </c:pt>
                <c:pt idx="80">
                  <c:v>5.2507833994092035E-6</c:v>
                </c:pt>
                <c:pt idx="81">
                  <c:v>4.3259319762295064E-6</c:v>
                </c:pt>
                <c:pt idx="82">
                  <c:v>3.5641603525851751E-6</c:v>
                </c:pt>
                <c:pt idx="83">
                  <c:v>2.9366791282138905E-6</c:v>
                </c:pt>
                <c:pt idx="84">
                  <c:v>2.4197874428651816E-6</c:v>
                </c:pt>
                <c:pt idx="85">
                  <c:v>1.9939724310044083E-6</c:v>
                </c:pt>
                <c:pt idx="86">
                  <c:v>1.6431682618538128E-6</c:v>
                </c:pt>
                <c:pt idx="87">
                  <c:v>1.3541464457570578E-6</c:v>
                </c:pt>
                <c:pt idx="88">
                  <c:v>1.1160141203424079E-6</c:v>
                </c:pt>
                <c:pt idx="89">
                  <c:v>9.1980116682009027E-7</c:v>
                </c:pt>
                <c:pt idx="90">
                  <c:v>7.5812040761804819E-7</c:v>
                </c:pt>
                <c:pt idx="91">
                  <c:v>6.2488793257580389E-7</c:v>
                </c:pt>
                <c:pt idx="92">
                  <c:v>5.1509289981494122E-7</c:v>
                </c:pt>
                <c:pt idx="93">
                  <c:v>4.2460804770292559E-7</c:v>
                </c:pt>
                <c:pt idx="94">
                  <c:v>3.5003370875618652E-7</c:v>
                </c:pt>
                <c:pt idx="95">
                  <c:v>2.8856939465345545E-7</c:v>
                </c:pt>
                <c:pt idx="96">
                  <c:v>2.3790807286579725E-7</c:v>
                </c:pt>
                <c:pt idx="97">
                  <c:v>1.9614912012006311E-7</c:v>
                </c:pt>
                <c:pt idx="98">
                  <c:v>1.6172664917362545E-7</c:v>
                </c:pt>
                <c:pt idx="99">
                  <c:v>1.3335049045977816E-7</c:v>
                </c:pt>
                <c:pt idx="100">
                  <c:v>1.0995759148143814E-7</c:v>
                </c:pt>
                <c:pt idx="101">
                  <c:v>9.0671992813887453E-8</c:v>
                </c:pt>
                <c:pt idx="102">
                  <c:v>7.4771865375830586E-8</c:v>
                </c:pt>
                <c:pt idx="103">
                  <c:v>6.1662361698824058E-8</c:v>
                </c:pt>
                <c:pt idx="104">
                  <c:v>5.0853254510899655E-8</c:v>
                </c:pt>
                <c:pt idx="105">
                  <c:v>4.1940517473724834E-8</c:v>
                </c:pt>
                <c:pt idx="106">
                  <c:v>3.4591152300536803E-8</c:v>
                </c:pt>
                <c:pt idx="107">
                  <c:v>2.8530689431055066E-8</c:v>
                </c:pt>
                <c:pt idx="108">
                  <c:v>2.3532890635014252E-8</c:v>
                </c:pt>
                <c:pt idx="109">
                  <c:v>1.9411265211816953E-8</c:v>
                </c:pt>
                <c:pt idx="110">
                  <c:v>1.6012080020307413E-8</c:v>
                </c:pt>
                <c:pt idx="111">
                  <c:v>1.3208600017795123E-8</c:v>
                </c:pt>
                <c:pt idx="112">
                  <c:v>1.089634245680156E-8</c:v>
                </c:pt>
                <c:pt idx="113">
                  <c:v>8.9891661468615158E-9</c:v>
                </c:pt>
                <c:pt idx="114">
                  <c:v>7.416048689580818E-9</c:v>
                </c:pt>
                <c:pt idx="115">
                  <c:v>6.1184305332413958E-9</c:v>
                </c:pt>
                <c:pt idx="116">
                  <c:v>5.0480260520992504E-9</c:v>
                </c:pt>
                <c:pt idx="117">
                  <c:v>4.1650194445693177E-9</c:v>
                </c:pt>
                <c:pt idx="118">
                  <c:v>3.4365777298983169E-9</c:v>
                </c:pt>
                <c:pt idx="119">
                  <c:v>2.8356250529971299E-9</c:v>
                </c:pt>
                <c:pt idx="120">
                  <c:v>2.3398323331500126E-9</c:v>
                </c:pt>
                <c:pt idx="121">
                  <c:v>1.930784385846749E-9</c:v>
                </c:pt>
                <c:pt idx="122">
                  <c:v>1.5932933138246625E-9</c:v>
                </c:pt>
                <c:pt idx="123">
                  <c:v>1.3148324553382228E-9</c:v>
                </c:pt>
                <c:pt idx="124">
                  <c:v>1.0850697019862103E-9</c:v>
                </c:pt>
                <c:pt idx="125">
                  <c:v>8.9548272579521797E-10</c:v>
                </c:pt>
                <c:pt idx="126">
                  <c:v>7.390417262185485E-10</c:v>
                </c:pt>
                <c:pt idx="127">
                  <c:v>6.099478379850621E-10</c:v>
                </c:pt>
                <c:pt idx="128">
                  <c:v>5.0341742562158623E-10</c:v>
                </c:pt>
                <c:pt idx="129">
                  <c:v>4.1550420845741667E-10</c:v>
                </c:pt>
                <c:pt idx="130">
                  <c:v>3.4295257563764069E-10</c:v>
                </c:pt>
                <c:pt idx="131">
                  <c:v>2.8307661736065729E-10</c:v>
                </c:pt>
                <c:pt idx="132">
                  <c:v>2.3366036006515945E-10</c:v>
                </c:pt>
                <c:pt idx="133">
                  <c:v>1.9287548574340741E-10</c:v>
                </c:pt>
                <c:pt idx="134">
                  <c:v>1.5921346870588993E-10</c:v>
                </c:pt>
                <c:pt idx="135">
                  <c:v>1.3142960147975716E-10</c:v>
                </c:pt>
                <c:pt idx="136">
                  <c:v>1.0849682528422614E-10</c:v>
                </c:pt>
                <c:pt idx="137">
                  <c:v>8.956764632860911E-11</c:v>
                </c:pt>
                <c:pt idx="138">
                  <c:v>7.3942720731379667E-11</c:v>
                </c:pt>
                <c:pt idx="139">
                  <c:v>6.1044939457383424E-11</c:v>
                </c:pt>
                <c:pt idx="140">
                  <c:v>5.0398049622661796E-11</c:v>
                </c:pt>
                <c:pt idx="141">
                  <c:v>4.1609017492491311E-11</c:v>
                </c:pt>
                <c:pt idx="142">
                  <c:v>3.4353477819015306E-11</c:v>
                </c:pt>
                <c:pt idx="143">
                  <c:v>2.8363729039525708E-11</c:v>
                </c:pt>
                <c:pt idx="144">
                  <c:v>2.3418828578328609E-11</c:v>
                </c:pt>
                <c:pt idx="145">
                  <c:v>1.933642060281432E-11</c:v>
                </c:pt>
                <c:pt idx="146">
                  <c:v>1.59659929945079E-11</c:v>
                </c:pt>
                <c:pt idx="147">
                  <c:v>1.3183313412676987E-11</c:v>
                </c:pt>
                <c:pt idx="148">
                  <c:v>1.0885838133324026E-11</c:v>
                </c:pt>
                <c:pt idx="149">
                  <c:v>8.988923473808578E-12</c:v>
                </c:pt>
                <c:pt idx="150">
                  <c:v>7.422699409756367E-12</c:v>
                </c:pt>
                <c:pt idx="151">
                  <c:v>6.1294895666760929E-12</c:v>
                </c:pt>
                <c:pt idx="152">
                  <c:v>5.0616820392741839E-12</c:v>
                </c:pt>
                <c:pt idx="153">
                  <c:v>4.1799722116189833E-12</c:v>
                </c:pt>
                <c:pt idx="154">
                  <c:v>3.4519125434055791E-12</c:v>
                </c:pt>
                <c:pt idx="155">
                  <c:v>2.8507156647745364E-12</c:v>
                </c:pt>
                <c:pt idx="156">
                  <c:v>2.3542665075983731E-12</c:v>
                </c:pt>
                <c:pt idx="157">
                  <c:v>1.9443069438128244E-12</c:v>
                </c:pt>
                <c:pt idx="158">
                  <c:v>1.6057627890009554E-12</c:v>
                </c:pt>
                <c:pt idx="159">
                  <c:v>1.3261882993521541E-12</c:v>
                </c:pt>
                <c:pt idx="160">
                  <c:v>1.0953076380369454E-12</c:v>
                </c:pt>
                <c:pt idx="161">
                  <c:v>9.0463637438451916E-13</c:v>
                </c:pt>
                <c:pt idx="162">
                  <c:v>7.4716903916213804E-13</c:v>
                </c:pt>
                <c:pt idx="163">
                  <c:v>6.1712120154976214E-13</c:v>
                </c:pt>
                <c:pt idx="164">
                  <c:v>5.0971654866018279E-13</c:v>
                </c:pt>
                <c:pt idx="165">
                  <c:v>4.2101111139309126E-13</c:v>
                </c:pt>
                <c:pt idx="166">
                  <c:v>3.477481526659814E-13</c:v>
                </c:pt>
                <c:pt idx="167">
                  <c:v>2.8723836648093863E-13</c:v>
                </c:pt>
                <c:pt idx="168">
                  <c:v>2.372609708093878E-13</c:v>
                </c:pt>
                <c:pt idx="169">
                  <c:v>1.9598204851123715E-13</c:v>
                </c:pt>
                <c:pt idx="170">
                  <c:v>1.6188712699979962E-13</c:v>
                </c:pt>
                <c:pt idx="171">
                  <c:v>1.337255126737378E-13</c:v>
                </c:pt>
                <c:pt idx="172">
                  <c:v>1.104643296961701E-13</c:v>
                </c:pt>
                <c:pt idx="173">
                  <c:v>9.1250570543754149E-14</c:v>
                </c:pt>
                <c:pt idx="174">
                  <c:v>7.5379761106042282E-14</c:v>
                </c:pt>
                <c:pt idx="175">
                  <c:v>6.2270086904772245E-14</c:v>
                </c:pt>
                <c:pt idx="176">
                  <c:v>5.1441028232944533E-14</c:v>
                </c:pt>
                <c:pt idx="177">
                  <c:v>4.2495718118291336E-14</c:v>
                </c:pt>
                <c:pt idx="178">
                  <c:v>3.5106374129883813E-14</c:v>
                </c:pt>
                <c:pt idx="179">
                  <c:v>2.9002268232610164E-14</c:v>
                </c:pt>
                <c:pt idx="180">
                  <c:v>2.3959792330206029E-14</c:v>
                </c:pt>
                <c:pt idx="181">
                  <c:v>1.9794254271409404E-14</c:v>
                </c:pt>
                <c:pt idx="182">
                  <c:v>1.6353102771470868E-14</c:v>
                </c:pt>
                <c:pt idx="183">
                  <c:v>1.3510332271315603E-14</c:v>
                </c:pt>
                <c:pt idx="184">
                  <c:v>1.1161862157704472E-14</c:v>
                </c:pt>
                <c:pt idx="185">
                  <c:v>9.2217205997576463E-15</c:v>
                </c:pt>
                <c:pt idx="186">
                  <c:v>7.6188928408872829E-15</c:v>
                </c:pt>
                <c:pt idx="187">
                  <c:v>6.2947182106150561E-15</c:v>
                </c:pt>
                <c:pt idx="188">
                  <c:v>5.2007402877765846E-15</c:v>
                </c:pt>
                <c:pt idx="189">
                  <c:v>4.2969312979942493E-15</c:v>
                </c:pt>
                <c:pt idx="190">
                  <c:v>3.5502255771987274E-15</c:v>
                </c:pt>
                <c:pt idx="191">
                  <c:v>2.9333082855493515E-15</c:v>
                </c:pt>
                <c:pt idx="192">
                  <c:v>2.4236149301953443E-15</c:v>
                </c:pt>
                <c:pt idx="193">
                  <c:v>2.0025049958898051E-15</c:v>
                </c:pt>
                <c:pt idx="194">
                  <c:v>1.6545793742915651E-15</c:v>
                </c:pt>
                <c:pt idx="195">
                  <c:v>1.3671165609829576E-15</c:v>
                </c:pt>
                <c:pt idx="196">
                  <c:v>1.1296069478965363E-15</c:v>
                </c:pt>
                <c:pt idx="197">
                  <c:v>9.3336813824419832E-16</c:v>
                </c:pt>
                <c:pt idx="198">
                  <c:v>7.7122718349037062E-16</c:v>
                </c:pt>
                <c:pt idx="199">
                  <c:v>6.3725809665727998E-16</c:v>
                </c:pt>
                <c:pt idx="200">
                  <c:v>5.2656502349491552E-16</c:v>
                </c:pt>
              </c:numCache>
            </c:numRef>
          </c:yVal>
        </c:ser>
        <c:ser>
          <c:idx val="1"/>
          <c:order val="1"/>
          <c:tx>
            <c:v>(+)포락선</c:v>
          </c:tx>
          <c:marker>
            <c:symbol val="none"/>
          </c:marker>
          <c:xVal>
            <c:numRef>
              <c:f>'실의 길이와 저항에 따른 진자의 진동 변화'!$B$38:$B$238</c:f>
              <c:numCache>
                <c:formatCode>General</c:formatCode>
                <c:ptCount val="2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</c:numCache>
            </c:numRef>
          </c:xVal>
          <c:yVal>
            <c:numRef>
              <c:f>'실의 길이와 저항에 따른 진자의 진동 변화'!$I$38:$I$238</c:f>
              <c:numCache>
                <c:formatCode>General</c:formatCode>
                <c:ptCount val="201"/>
                <c:pt idx="0">
                  <c:v>35</c:v>
                </c:pt>
                <c:pt idx="1">
                  <c:v>27.312598014731201</c:v>
                </c:pt>
                <c:pt idx="2">
                  <c:v>21.313657437551392</c:v>
                </c:pt>
                <c:pt idx="3">
                  <c:v>16.632324509015053</c:v>
                </c:pt>
                <c:pt idx="4">
                  <c:v>12.979199810436848</c:v>
                </c:pt>
                <c:pt idx="5">
                  <c:v>10.128447627866771</c:v>
                </c:pt>
                <c:pt idx="6">
                  <c:v>7.903834816376655</c:v>
                </c:pt>
                <c:pt idx="7">
                  <c:v>6.1678360889866388</c:v>
                </c:pt>
                <c:pt idx="8">
                  <c:v>4.8131322205498268</c:v>
                </c:pt>
                <c:pt idx="9">
                  <c:v>3.7559755866179425</c:v>
                </c:pt>
                <c:pt idx="10">
                  <c:v>2.9310128957268597</c:v>
                </c:pt>
                <c:pt idx="11">
                  <c:v>2.287245057056599</c:v>
                </c:pt>
                <c:pt idx="12">
                  <c:v>1.7848744229876512</c:v>
                </c:pt>
                <c:pt idx="13">
                  <c:v>1.3928445034810575</c:v>
                </c:pt>
              </c:numCache>
            </c:numRef>
          </c:yVal>
        </c:ser>
        <c:ser>
          <c:idx val="2"/>
          <c:order val="2"/>
          <c:tx>
            <c:v>(-)포락선</c:v>
          </c:tx>
          <c:marker>
            <c:symbol val="none"/>
          </c:marker>
          <c:xVal>
            <c:numRef>
              <c:f>'실의 길이와 저항에 따른 진자의 진동 변화'!$B$38:$B$238</c:f>
              <c:numCache>
                <c:formatCode>General</c:formatCode>
                <c:ptCount val="2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</c:numCache>
            </c:numRef>
          </c:xVal>
          <c:yVal>
            <c:numRef>
              <c:f>'실의 길이와 저항에 따른 진자의 진동 변화'!$J$38:$J$238</c:f>
              <c:numCache>
                <c:formatCode>General</c:formatCode>
                <c:ptCount val="201"/>
                <c:pt idx="0">
                  <c:v>-35</c:v>
                </c:pt>
                <c:pt idx="1">
                  <c:v>-27.312598014731201</c:v>
                </c:pt>
                <c:pt idx="2">
                  <c:v>-21.313657437551392</c:v>
                </c:pt>
                <c:pt idx="3">
                  <c:v>-16.632324509015053</c:v>
                </c:pt>
                <c:pt idx="4">
                  <c:v>-12.979199810436848</c:v>
                </c:pt>
                <c:pt idx="5">
                  <c:v>-10.128447627866771</c:v>
                </c:pt>
                <c:pt idx="6">
                  <c:v>-7.903834816376655</c:v>
                </c:pt>
                <c:pt idx="7">
                  <c:v>-6.1678360889866388</c:v>
                </c:pt>
                <c:pt idx="8">
                  <c:v>-4.8131322205498268</c:v>
                </c:pt>
                <c:pt idx="9">
                  <c:v>-3.7559755866179425</c:v>
                </c:pt>
                <c:pt idx="10">
                  <c:v>-2.9310128957268597</c:v>
                </c:pt>
                <c:pt idx="11">
                  <c:v>-2.287245057056599</c:v>
                </c:pt>
                <c:pt idx="12">
                  <c:v>-1.7848744229876512</c:v>
                </c:pt>
                <c:pt idx="13">
                  <c:v>-1.3928445034810575</c:v>
                </c:pt>
              </c:numCache>
            </c:numRef>
          </c:yVal>
        </c:ser>
        <c:axId val="71798784"/>
        <c:axId val="71800704"/>
      </c:scatterChart>
      <c:valAx>
        <c:axId val="717987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시간</a:t>
                </a:r>
                <a:r>
                  <a:rPr lang="en-US" altLang="ko-KR"/>
                  <a:t>(</a:t>
                </a:r>
                <a:r>
                  <a:rPr lang="ko-KR" altLang="en-US"/>
                  <a:t>초</a:t>
                </a:r>
                <a:r>
                  <a:rPr lang="en-US" altLang="ko-KR"/>
                  <a:t>)</a:t>
                </a:r>
              </a:p>
            </c:rich>
          </c:tx>
          <c:layout/>
        </c:title>
        <c:numFmt formatCode="General" sourceLinked="1"/>
        <c:tickLblPos val="nextTo"/>
        <c:crossAx val="71800704"/>
        <c:crosses val="autoZero"/>
        <c:crossBetween val="midCat"/>
      </c:valAx>
      <c:valAx>
        <c:axId val="71800704"/>
        <c:scaling>
          <c:orientation val="minMax"/>
        </c:scaling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ko-KR" altLang="en-US"/>
                  <a:t>각도</a:t>
                </a:r>
                <a:r>
                  <a:rPr lang="en-US" altLang="ko-KR"/>
                  <a:t>(</a:t>
                </a:r>
                <a:r>
                  <a:rPr lang="en-US" altLang="ko-KR">
                    <a:latin typeface="굴림"/>
                    <a:ea typeface="굴림"/>
                  </a:rPr>
                  <a:t>°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layout/>
        </c:title>
        <c:numFmt formatCode="General" sourceLinked="1"/>
        <c:tickLblPos val="nextTo"/>
        <c:crossAx val="717987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'실의 길이와 저항에 따른 진자의 진동 변화'!$G$38:$G$238</c:f>
              <c:numCache>
                <c:formatCode>General</c:formatCode>
                <c:ptCount val="201"/>
                <c:pt idx="0">
                  <c:v>35</c:v>
                </c:pt>
                <c:pt idx="1">
                  <c:v>32.846153846153847</c:v>
                </c:pt>
                <c:pt idx="2">
                  <c:v>29.739313609467455</c:v>
                </c:pt>
                <c:pt idx="3">
                  <c:v>26.343354523441054</c:v>
                </c:pt>
                <c:pt idx="4">
                  <c:v>23.010661634948914</c:v>
                </c:pt>
                <c:pt idx="5">
                  <c:v>19.914943703152019</c:v>
                </c:pt>
                <c:pt idx="6">
                  <c:v>17.129166868409335</c:v>
                </c:pt>
                <c:pt idx="7">
                  <c:v>14.671032767181526</c:v>
                </c:pt>
                <c:pt idx="8">
                  <c:v>12.529300394490001</c:v>
                </c:pt>
                <c:pt idx="9">
                  <c:v>10.678833408223317</c:v>
                </c:pt>
                <c:pt idx="10">
                  <c:v>9.0890390681773212</c:v>
                </c:pt>
                <c:pt idx="11">
                  <c:v>7.7284572396755342</c:v>
                </c:pt>
                <c:pt idx="12">
                  <c:v>6.567126629515216</c:v>
                </c:pt>
                <c:pt idx="13">
                  <c:v>5.5776851324857866</c:v>
                </c:pt>
                <c:pt idx="14">
                  <c:v>4.735764455983829</c:v>
                </c:pt>
              </c:numCache>
            </c:numRef>
          </c:xVal>
          <c:yVal>
            <c:numRef>
              <c:f>'실의 길이와 저항에 따른 진자의 진동 변화'!$H$38:$H$238</c:f>
              <c:numCache>
                <c:formatCode>General</c:formatCode>
                <c:ptCount val="201"/>
                <c:pt idx="0">
                  <c:v>0</c:v>
                </c:pt>
                <c:pt idx="1">
                  <c:v>-21.53846153846154</c:v>
                </c:pt>
                <c:pt idx="2">
                  <c:v>-31.068402366863907</c:v>
                </c:pt>
                <c:pt idx="3">
                  <c:v>-33.959590860264001</c:v>
                </c:pt>
                <c:pt idx="4">
                  <c:v>-33.326928884921401</c:v>
                </c:pt>
                <c:pt idx="5">
                  <c:v>-30.957179317968947</c:v>
                </c:pt>
                <c:pt idx="6">
                  <c:v>-27.857768347426823</c:v>
                </c:pt>
                <c:pt idx="7">
                  <c:v>-24.581341012278095</c:v>
                </c:pt>
                <c:pt idx="8">
                  <c:v>-21.417323726915253</c:v>
                </c:pt>
                <c:pt idx="9">
                  <c:v>-18.504669862666827</c:v>
                </c:pt>
                <c:pt idx="10">
                  <c:v>-15.897943400459969</c:v>
                </c:pt>
                <c:pt idx="11">
                  <c:v>-13.605818285017868</c:v>
                </c:pt>
                <c:pt idx="12">
                  <c:v>-11.613306101603181</c:v>
                </c:pt>
                <c:pt idx="13">
                  <c:v>-9.8944149702942887</c:v>
                </c:pt>
                <c:pt idx="14">
                  <c:v>-8.4192067650195757</c:v>
                </c:pt>
              </c:numCache>
            </c:numRef>
          </c:yVal>
          <c:smooth val="1"/>
        </c:ser>
        <c:axId val="71566848"/>
        <c:axId val="71568768"/>
      </c:scatterChart>
      <c:valAx>
        <c:axId val="715668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각도</a:t>
                </a:r>
                <a:r>
                  <a:rPr lang="en-US" altLang="ko-KR"/>
                  <a:t>(</a:t>
                </a:r>
                <a:r>
                  <a:rPr lang="en-US" altLang="ko-KR">
                    <a:latin typeface="굴림"/>
                    <a:ea typeface="굴림"/>
                  </a:rPr>
                  <a:t>°</a:t>
                </a:r>
                <a:r>
                  <a:rPr lang="en-US" altLang="ko-KR"/>
                  <a:t>)</a:t>
                </a:r>
                <a:endParaRPr lang="ko-KR" altLang="en-US"/>
              </a:p>
            </c:rich>
          </c:tx>
          <c:layout/>
        </c:title>
        <c:numFmt formatCode="General" sourceLinked="1"/>
        <c:tickLblPos val="nextTo"/>
        <c:crossAx val="71568768"/>
        <c:crosses val="autoZero"/>
        <c:crossBetween val="midCat"/>
      </c:valAx>
      <c:valAx>
        <c:axId val="71568768"/>
        <c:scaling>
          <c:orientation val="minMax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ko-KR" altLang="en-US"/>
                  <a:t>속력</a:t>
                </a:r>
                <a:endParaRPr lang="en-US" altLang="ko-KR"/>
              </a:p>
              <a:p>
                <a:pPr>
                  <a:defRPr/>
                </a:pPr>
                <a:r>
                  <a:rPr lang="en-US" altLang="ko-KR"/>
                  <a:t>(Rad/s)</a:t>
                </a:r>
                <a:endParaRPr lang="ko-KR" altLang="en-US"/>
              </a:p>
            </c:rich>
          </c:tx>
          <c:layout>
            <c:manualLayout>
              <c:xMode val="edge"/>
              <c:yMode val="edge"/>
              <c:x val="1.1043303008452262E-2"/>
              <c:y val="0.36779686081523516"/>
            </c:manualLayout>
          </c:layout>
        </c:title>
        <c:numFmt formatCode="General" sourceLinked="1"/>
        <c:tickLblPos val="nextTo"/>
        <c:crossAx val="71566848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240031</xdr:colOff>
      <xdr:row>0</xdr:row>
      <xdr:rowOff>0</xdr:rowOff>
    </xdr:from>
    <xdr:to>
      <xdr:col>12</xdr:col>
      <xdr:colOff>285750</xdr:colOff>
      <xdr:row>14</xdr:row>
      <xdr:rowOff>190500</xdr:rowOff>
    </xdr:to>
    <xdr:grpSp>
      <xdr:nvGrpSpPr>
        <xdr:cNvPr id="11" name="그룹 10"/>
        <xdr:cNvGrpSpPr/>
      </xdr:nvGrpSpPr>
      <xdr:grpSpPr>
        <a:xfrm rot="174">
          <a:off x="8469631" y="0"/>
          <a:ext cx="45719" cy="3133725"/>
          <a:chOff x="125731" y="9525"/>
          <a:chExt cx="45719" cy="3133725"/>
        </a:xfrm>
      </xdr:grpSpPr>
      <xdr:sp macro="" textlink="">
        <xdr:nvSpPr>
          <xdr:cNvPr id="9" name="직사각형 8"/>
          <xdr:cNvSpPr/>
        </xdr:nvSpPr>
        <xdr:spPr>
          <a:xfrm>
            <a:off x="125731" y="9525"/>
            <a:ext cx="45719" cy="15621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0" name="직사각형 9"/>
          <xdr:cNvSpPr/>
        </xdr:nvSpPr>
        <xdr:spPr>
          <a:xfrm>
            <a:off x="125731" y="1581150"/>
            <a:ext cx="45719" cy="156210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3</xdr:col>
      <xdr:colOff>0</xdr:colOff>
      <xdr:row>0</xdr:row>
      <xdr:rowOff>57151</xdr:rowOff>
    </xdr:from>
    <xdr:to>
      <xdr:col>16</xdr:col>
      <xdr:colOff>0</xdr:colOff>
      <xdr:row>4</xdr:row>
      <xdr:rowOff>190501</xdr:rowOff>
    </xdr:to>
    <xdr:sp macro="" textlink="">
      <xdr:nvSpPr>
        <xdr:cNvPr id="2" name="직사각형 1"/>
        <xdr:cNvSpPr/>
      </xdr:nvSpPr>
      <xdr:spPr>
        <a:xfrm>
          <a:off x="2057400" y="57151"/>
          <a:ext cx="8915400" cy="971550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ko-KR" sz="48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Damped Harmonic oscillator</a:t>
          </a:r>
          <a:endParaRPr kumimoji="0" lang="ko-KR" altLang="en-US" sz="48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476250</xdr:colOff>
      <xdr:row>5</xdr:row>
      <xdr:rowOff>204107</xdr:rowOff>
    </xdr:from>
    <xdr:to>
      <xdr:col>18</xdr:col>
      <xdr:colOff>262422</xdr:colOff>
      <xdr:row>18</xdr:row>
      <xdr:rowOff>194387</xdr:rowOff>
    </xdr:to>
    <xdr:sp macro="" textlink="">
      <xdr:nvSpPr>
        <xdr:cNvPr id="5" name="액자 4"/>
        <xdr:cNvSpPr/>
      </xdr:nvSpPr>
      <xdr:spPr>
        <a:xfrm>
          <a:off x="476250" y="1273240"/>
          <a:ext cx="12207550" cy="2867218"/>
        </a:xfrm>
        <a:prstGeom prst="frame">
          <a:avLst>
            <a:gd name="adj1" fmla="val 4078"/>
          </a:avLst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466724</xdr:colOff>
      <xdr:row>20</xdr:row>
      <xdr:rowOff>1166</xdr:rowOff>
    </xdr:from>
    <xdr:to>
      <xdr:col>18</xdr:col>
      <xdr:colOff>285749</xdr:colOff>
      <xdr:row>32</xdr:row>
      <xdr:rowOff>200996</xdr:rowOff>
    </xdr:to>
    <xdr:sp macro="" textlink="">
      <xdr:nvSpPr>
        <xdr:cNvPr id="6" name="액자 5"/>
        <xdr:cNvSpPr/>
      </xdr:nvSpPr>
      <xdr:spPr>
        <a:xfrm>
          <a:off x="466724" y="4230266"/>
          <a:ext cx="12163425" cy="2714430"/>
        </a:xfrm>
        <a:prstGeom prst="frame">
          <a:avLst>
            <a:gd name="adj1" fmla="val 4078"/>
          </a:avLst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680357</xdr:colOff>
      <xdr:row>7</xdr:row>
      <xdr:rowOff>19439</xdr:rowOff>
    </xdr:from>
    <xdr:to>
      <xdr:col>16</xdr:col>
      <xdr:colOff>10886</xdr:colOff>
      <xdr:row>8</xdr:row>
      <xdr:rowOff>5443</xdr:rowOff>
    </xdr:to>
    <xdr:sp macro="" textlink="">
      <xdr:nvSpPr>
        <xdr:cNvPr id="7" name="직사각형 6"/>
        <xdr:cNvSpPr/>
      </xdr:nvSpPr>
      <xdr:spPr>
        <a:xfrm>
          <a:off x="6166757" y="1505339"/>
          <a:ext cx="4816929" cy="19827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11</xdr:col>
      <xdr:colOff>634903</xdr:colOff>
      <xdr:row>14</xdr:row>
      <xdr:rowOff>206375</xdr:rowOff>
    </xdr:from>
    <xdr:to>
      <xdr:col>12</xdr:col>
      <xdr:colOff>558703</xdr:colOff>
      <xdr:row>17</xdr:row>
      <xdr:rowOff>184840</xdr:rowOff>
    </xdr:to>
    <xdr:sp macro="" textlink="">
      <xdr:nvSpPr>
        <xdr:cNvPr id="8" name="타원 7"/>
        <xdr:cNvSpPr/>
      </xdr:nvSpPr>
      <xdr:spPr>
        <a:xfrm>
          <a:off x="8178703" y="3149600"/>
          <a:ext cx="609600" cy="607115"/>
        </a:xfrm>
        <a:prstGeom prst="ellipse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266700</xdr:colOff>
      <xdr:row>20</xdr:row>
      <xdr:rowOff>161925</xdr:rowOff>
    </xdr:from>
    <xdr:to>
      <xdr:col>7</xdr:col>
      <xdr:colOff>676275</xdr:colOff>
      <xdr:row>32</xdr:row>
      <xdr:rowOff>66675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361950</xdr:colOff>
      <xdr:row>20</xdr:row>
      <xdr:rowOff>142875</xdr:rowOff>
    </xdr:from>
    <xdr:to>
      <xdr:col>16</xdr:col>
      <xdr:colOff>247650</xdr:colOff>
      <xdr:row>32</xdr:row>
      <xdr:rowOff>66674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240031</xdr:colOff>
      <xdr:row>2</xdr:row>
      <xdr:rowOff>136525</xdr:rowOff>
    </xdr:from>
    <xdr:to>
      <xdr:col>12</xdr:col>
      <xdr:colOff>285751</xdr:colOff>
      <xdr:row>12</xdr:row>
      <xdr:rowOff>63500</xdr:rowOff>
    </xdr:to>
    <xdr:grpSp>
      <xdr:nvGrpSpPr>
        <xdr:cNvPr id="2" name="그룹 1"/>
        <xdr:cNvGrpSpPr/>
      </xdr:nvGrpSpPr>
      <xdr:grpSpPr>
        <a:xfrm rot="-83327" flipH="1">
          <a:off x="8469631" y="555625"/>
          <a:ext cx="45720" cy="2022475"/>
          <a:chOff x="125731" y="9525"/>
          <a:chExt cx="45719" cy="3133725"/>
        </a:xfrm>
      </xdr:grpSpPr>
      <xdr:sp macro="" textlink="">
        <xdr:nvSpPr>
          <xdr:cNvPr id="3" name="직사각형 2"/>
          <xdr:cNvSpPr/>
        </xdr:nvSpPr>
        <xdr:spPr>
          <a:xfrm>
            <a:off x="125731" y="9525"/>
            <a:ext cx="45719" cy="15621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" name="직사각형 3"/>
          <xdr:cNvSpPr/>
        </xdr:nvSpPr>
        <xdr:spPr>
          <a:xfrm>
            <a:off x="125731" y="1581150"/>
            <a:ext cx="45719" cy="156210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3</xdr:col>
      <xdr:colOff>10027</xdr:colOff>
      <xdr:row>0</xdr:row>
      <xdr:rowOff>57151</xdr:rowOff>
    </xdr:from>
    <xdr:to>
      <xdr:col>15</xdr:col>
      <xdr:colOff>675775</xdr:colOff>
      <xdr:row>4</xdr:row>
      <xdr:rowOff>190501</xdr:rowOff>
    </xdr:to>
    <xdr:sp macro="" textlink="">
      <xdr:nvSpPr>
        <xdr:cNvPr id="5" name="직사각형 4"/>
        <xdr:cNvSpPr/>
      </xdr:nvSpPr>
      <xdr:spPr>
        <a:xfrm>
          <a:off x="2055395" y="57151"/>
          <a:ext cx="8847222" cy="975561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ko-KR" sz="4800"/>
            <a:t>Damped Harmonic oscillator</a:t>
          </a:r>
          <a:endParaRPr lang="ko-KR" altLang="en-US" sz="4800"/>
        </a:p>
      </xdr:txBody>
    </xdr:sp>
    <xdr:clientData/>
  </xdr:twoCellAnchor>
  <xdr:twoCellAnchor>
    <xdr:from>
      <xdr:col>0</xdr:col>
      <xdr:colOff>476250</xdr:colOff>
      <xdr:row>5</xdr:row>
      <xdr:rowOff>204107</xdr:rowOff>
    </xdr:from>
    <xdr:to>
      <xdr:col>18</xdr:col>
      <xdr:colOff>262422</xdr:colOff>
      <xdr:row>18</xdr:row>
      <xdr:rowOff>194387</xdr:rowOff>
    </xdr:to>
    <xdr:sp macro="" textlink="">
      <xdr:nvSpPr>
        <xdr:cNvPr id="6" name="액자 5"/>
        <xdr:cNvSpPr/>
      </xdr:nvSpPr>
      <xdr:spPr>
        <a:xfrm>
          <a:off x="476250" y="1251857"/>
          <a:ext cx="12130572" cy="2743005"/>
        </a:xfrm>
        <a:prstGeom prst="frame">
          <a:avLst>
            <a:gd name="adj1" fmla="val 4078"/>
          </a:avLst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466724</xdr:colOff>
      <xdr:row>20</xdr:row>
      <xdr:rowOff>1166</xdr:rowOff>
    </xdr:from>
    <xdr:to>
      <xdr:col>18</xdr:col>
      <xdr:colOff>285749</xdr:colOff>
      <xdr:row>32</xdr:row>
      <xdr:rowOff>200996</xdr:rowOff>
    </xdr:to>
    <xdr:sp macro="" textlink="">
      <xdr:nvSpPr>
        <xdr:cNvPr id="7" name="액자 6"/>
        <xdr:cNvSpPr/>
      </xdr:nvSpPr>
      <xdr:spPr>
        <a:xfrm>
          <a:off x="466724" y="4230266"/>
          <a:ext cx="12163425" cy="2714430"/>
        </a:xfrm>
        <a:prstGeom prst="frame">
          <a:avLst>
            <a:gd name="adj1" fmla="val 4078"/>
          </a:avLst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680357</xdr:colOff>
      <xdr:row>7</xdr:row>
      <xdr:rowOff>19439</xdr:rowOff>
    </xdr:from>
    <xdr:to>
      <xdr:col>16</xdr:col>
      <xdr:colOff>10886</xdr:colOff>
      <xdr:row>8</xdr:row>
      <xdr:rowOff>5443</xdr:rowOff>
    </xdr:to>
    <xdr:sp macro="" textlink="">
      <xdr:nvSpPr>
        <xdr:cNvPr id="8" name="직사각형 7"/>
        <xdr:cNvSpPr/>
      </xdr:nvSpPr>
      <xdr:spPr>
        <a:xfrm>
          <a:off x="6166757" y="1486289"/>
          <a:ext cx="4816929" cy="195554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11</xdr:col>
      <xdr:colOff>664782</xdr:colOff>
      <xdr:row>11</xdr:row>
      <xdr:rowOff>168657</xdr:rowOff>
    </xdr:from>
    <xdr:to>
      <xdr:col>12</xdr:col>
      <xdr:colOff>588582</xdr:colOff>
      <xdr:row>14</xdr:row>
      <xdr:rowOff>139580</xdr:rowOff>
    </xdr:to>
    <xdr:sp macro="" textlink="">
      <xdr:nvSpPr>
        <xdr:cNvPr id="9" name="타원 8"/>
        <xdr:cNvSpPr/>
      </xdr:nvSpPr>
      <xdr:spPr>
        <a:xfrm>
          <a:off x="8208582" y="2473707"/>
          <a:ext cx="609600" cy="609098"/>
        </a:xfrm>
        <a:prstGeom prst="ellipse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266700</xdr:colOff>
      <xdr:row>20</xdr:row>
      <xdr:rowOff>161925</xdr:rowOff>
    </xdr:from>
    <xdr:to>
      <xdr:col>7</xdr:col>
      <xdr:colOff>676275</xdr:colOff>
      <xdr:row>32</xdr:row>
      <xdr:rowOff>66675</xdr:rowOff>
    </xdr:to>
    <xdr:graphicFrame macro="">
      <xdr:nvGraphicFramePr>
        <xdr:cNvPr id="10" name="차트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340896</xdr:colOff>
      <xdr:row>20</xdr:row>
      <xdr:rowOff>170448</xdr:rowOff>
    </xdr:from>
    <xdr:to>
      <xdr:col>16</xdr:col>
      <xdr:colOff>140369</xdr:colOff>
      <xdr:row>32</xdr:row>
      <xdr:rowOff>90238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239"/>
  <sheetViews>
    <sheetView showGridLines="0" topLeftCell="A4" workbookViewId="0">
      <selection activeCell="I29" sqref="I29"/>
    </sheetView>
  </sheetViews>
  <sheetFormatPr defaultRowHeight="16.5"/>
  <cols>
    <col min="1" max="16384" width="9" style="10"/>
  </cols>
  <sheetData>
    <row r="1" spans="1:16">
      <c r="A1" s="39" t="s">
        <v>14</v>
      </c>
      <c r="B1" s="39"/>
      <c r="C1" s="39"/>
    </row>
    <row r="2" spans="1:16">
      <c r="A2" s="39" t="s">
        <v>15</v>
      </c>
      <c r="B2" s="40"/>
      <c r="C2" s="40"/>
    </row>
    <row r="3" spans="1:16">
      <c r="A3" s="40"/>
      <c r="B3" s="40"/>
      <c r="C3" s="40"/>
    </row>
    <row r="4" spans="1:16">
      <c r="A4" s="40"/>
      <c r="B4" s="40"/>
      <c r="C4" s="40"/>
    </row>
    <row r="5" spans="1:16">
      <c r="A5" s="40"/>
      <c r="B5" s="40"/>
      <c r="C5" s="40"/>
    </row>
    <row r="8" spans="1:16">
      <c r="I8" s="1"/>
      <c r="J8" s="1"/>
      <c r="K8" s="1"/>
    </row>
    <row r="9" spans="1:16">
      <c r="B9" s="23"/>
      <c r="C9" s="23"/>
      <c r="D9" s="23"/>
      <c r="E9" s="23"/>
      <c r="F9" s="23"/>
      <c r="G9" s="23"/>
      <c r="H9" s="23"/>
      <c r="I9" s="1"/>
      <c r="J9" s="28">
        <v>13.199999999999969</v>
      </c>
      <c r="K9" s="29" t="s">
        <v>10</v>
      </c>
      <c r="L9" s="24"/>
      <c r="M9" s="24"/>
      <c r="N9" s="24"/>
      <c r="O9" s="24"/>
      <c r="P9" s="25"/>
    </row>
    <row r="10" spans="1:16">
      <c r="I10" s="1"/>
      <c r="J10" s="30"/>
      <c r="K10" s="31"/>
      <c r="L10" s="24"/>
      <c r="M10" s="24"/>
      <c r="N10" s="24"/>
      <c r="O10" s="24"/>
      <c r="P10" s="25"/>
    </row>
    <row r="11" spans="1:16">
      <c r="I11" s="1"/>
      <c r="J11" s="30"/>
      <c r="K11" s="31"/>
      <c r="L11" s="24"/>
      <c r="M11" s="24"/>
      <c r="N11" s="24"/>
      <c r="O11" s="24"/>
      <c r="P11" s="25"/>
    </row>
    <row r="12" spans="1:16">
      <c r="I12" s="1"/>
      <c r="J12" s="30"/>
      <c r="K12" s="31"/>
      <c r="L12" s="24"/>
      <c r="M12" s="24"/>
      <c r="N12" s="24"/>
      <c r="O12" s="24"/>
      <c r="P12" s="25"/>
    </row>
    <row r="13" spans="1:16" ht="17.25" thickBot="1">
      <c r="I13" s="1"/>
      <c r="J13" s="30"/>
      <c r="K13" s="31"/>
      <c r="L13" s="24"/>
      <c r="M13" s="24"/>
      <c r="N13" s="24"/>
      <c r="O13" s="24"/>
      <c r="P13" s="25"/>
    </row>
    <row r="14" spans="1:16" ht="16.5" customHeight="1" thickTop="1" thickBot="1">
      <c r="B14" s="35" t="s">
        <v>11</v>
      </c>
      <c r="C14" s="36"/>
      <c r="D14" s="34">
        <f>E14/10</f>
        <v>17.600000000000001</v>
      </c>
      <c r="E14" s="2">
        <v>176</v>
      </c>
      <c r="F14" s="3"/>
      <c r="G14" s="3"/>
      <c r="H14" s="4"/>
      <c r="I14" s="1"/>
      <c r="J14" s="30"/>
      <c r="K14" s="31"/>
      <c r="L14" s="24"/>
      <c r="M14" s="24"/>
      <c r="N14" s="24"/>
      <c r="O14" s="24"/>
      <c r="P14" s="25"/>
    </row>
    <row r="15" spans="1:16" ht="16.5" customHeight="1" thickTop="1" thickBot="1">
      <c r="B15" s="35"/>
      <c r="C15" s="36"/>
      <c r="D15" s="34"/>
      <c r="E15" s="1"/>
      <c r="F15" s="1"/>
      <c r="G15" s="1"/>
      <c r="H15" s="5"/>
      <c r="I15" s="1"/>
      <c r="J15" s="30"/>
      <c r="K15" s="31"/>
      <c r="L15" s="24"/>
      <c r="M15" s="24"/>
      <c r="N15" s="24"/>
      <c r="O15" s="24"/>
      <c r="P15" s="25"/>
    </row>
    <row r="16" spans="1:16" ht="16.5" customHeight="1" thickTop="1" thickBot="1">
      <c r="B16" s="35" t="s">
        <v>12</v>
      </c>
      <c r="C16" s="37"/>
      <c r="D16" s="34">
        <f>E16/10</f>
        <v>18</v>
      </c>
      <c r="E16" s="2">
        <v>180</v>
      </c>
      <c r="F16" s="2">
        <v>25.699999999999541</v>
      </c>
      <c r="G16" s="3"/>
      <c r="H16" s="4"/>
      <c r="I16" s="1"/>
      <c r="J16" s="30"/>
      <c r="K16" s="31"/>
      <c r="L16" s="24"/>
      <c r="M16" s="24"/>
      <c r="N16" s="24"/>
      <c r="O16" s="24"/>
      <c r="P16" s="25"/>
    </row>
    <row r="17" spans="2:16" ht="16.5" customHeight="1" thickTop="1" thickBot="1">
      <c r="B17" s="38"/>
      <c r="C17" s="37"/>
      <c r="D17" s="34"/>
      <c r="E17" s="6"/>
      <c r="F17" s="6"/>
      <c r="G17" s="6"/>
      <c r="H17" s="7"/>
      <c r="I17" s="1"/>
      <c r="J17" s="30"/>
      <c r="K17" s="31"/>
      <c r="L17" s="24"/>
      <c r="M17" s="24"/>
      <c r="N17" s="24"/>
      <c r="O17" s="24"/>
      <c r="P17" s="25"/>
    </row>
    <row r="18" spans="2:16" ht="18" thickTop="1" thickBot="1">
      <c r="I18" s="1"/>
      <c r="J18" s="32"/>
      <c r="K18" s="33"/>
      <c r="L18" s="26"/>
      <c r="M18" s="26"/>
      <c r="N18" s="26"/>
      <c r="O18" s="26"/>
      <c r="P18" s="27"/>
    </row>
    <row r="19" spans="2:16" ht="17.25" thickTop="1">
      <c r="I19" s="1"/>
      <c r="J19" s="1"/>
      <c r="K19" s="1"/>
    </row>
    <row r="20" spans="2:16">
      <c r="I20" s="1"/>
      <c r="J20" s="1"/>
      <c r="K20" s="1"/>
    </row>
    <row r="21" spans="2:16">
      <c r="I21" s="1"/>
      <c r="J21" s="1"/>
      <c r="K21" s="1"/>
    </row>
    <row r="22" spans="2:16">
      <c r="I22" s="8" t="s">
        <v>8</v>
      </c>
      <c r="J22" s="1"/>
      <c r="K22" s="1"/>
    </row>
    <row r="23" spans="2:16">
      <c r="I23" s="1">
        <v>2.4487117634404267</v>
      </c>
      <c r="J23" s="1"/>
      <c r="K23" s="1"/>
      <c r="L23" s="10">
        <v>0</v>
      </c>
    </row>
    <row r="24" spans="2:16">
      <c r="I24" s="1"/>
      <c r="J24" s="1"/>
      <c r="K24" s="1"/>
    </row>
    <row r="25" spans="2:16">
      <c r="I25" s="8" t="s">
        <v>9</v>
      </c>
      <c r="J25" s="1"/>
      <c r="K25" s="1"/>
    </row>
    <row r="26" spans="2:16">
      <c r="I26" s="1">
        <v>2.5088937704359391</v>
      </c>
      <c r="J26" s="1" t="s">
        <v>10</v>
      </c>
      <c r="K26" s="1"/>
    </row>
    <row r="27" spans="2:16">
      <c r="I27" s="1"/>
      <c r="J27" s="1"/>
      <c r="K27" s="1"/>
    </row>
    <row r="28" spans="2:16">
      <c r="I28" s="8" t="s">
        <v>16</v>
      </c>
      <c r="J28" s="1"/>
      <c r="K28" s="1"/>
    </row>
    <row r="29" spans="2:16">
      <c r="I29" s="1">
        <f>D16/D14</f>
        <v>1.0227272727272727</v>
      </c>
      <c r="J29" s="1"/>
      <c r="K29" s="1"/>
    </row>
    <row r="30" spans="2:16">
      <c r="I30" s="1"/>
      <c r="J30" s="1"/>
      <c r="K30" s="1"/>
    </row>
    <row r="31" spans="2:16">
      <c r="I31" s="1"/>
      <c r="J31" s="1"/>
      <c r="K31" s="1"/>
    </row>
    <row r="37" spans="2:13">
      <c r="B37" s="10" t="s">
        <v>0</v>
      </c>
      <c r="C37" s="10" t="s">
        <v>1</v>
      </c>
      <c r="F37" s="11" t="s">
        <v>2</v>
      </c>
      <c r="G37" s="11" t="s">
        <v>3</v>
      </c>
      <c r="H37" s="11" t="s">
        <v>4</v>
      </c>
      <c r="I37" s="11"/>
      <c r="J37" s="11"/>
      <c r="K37" s="11" t="s">
        <v>5</v>
      </c>
      <c r="L37" s="11" t="s">
        <v>6</v>
      </c>
      <c r="M37" s="11" t="s">
        <v>7</v>
      </c>
    </row>
    <row r="38" spans="2:13">
      <c r="B38" s="10">
        <v>0</v>
      </c>
      <c r="C38" s="10">
        <v>35</v>
      </c>
      <c r="E38" s="10">
        <v>0</v>
      </c>
      <c r="F38" s="10">
        <v>-228.66666666666669</v>
      </c>
      <c r="G38" s="10">
        <v>35</v>
      </c>
      <c r="H38" s="10">
        <v>0</v>
      </c>
      <c r="I38" s="10">
        <v>35</v>
      </c>
      <c r="J38" s="10">
        <v>-35</v>
      </c>
      <c r="K38" s="10">
        <v>-2.2866666666666671</v>
      </c>
      <c r="L38" s="10">
        <v>0.1</v>
      </c>
      <c r="M38" s="10">
        <v>-22.866666666666671</v>
      </c>
    </row>
    <row r="39" spans="2:13">
      <c r="B39" s="10">
        <v>0.1</v>
      </c>
      <c r="C39" s="10">
        <v>32.217800365412323</v>
      </c>
      <c r="E39" s="10">
        <v>21.241665297476644</v>
      </c>
      <c r="F39" s="10">
        <v>-190.3407474747475</v>
      </c>
      <c r="G39" s="10">
        <v>32.713333333333331</v>
      </c>
      <c r="H39" s="10">
        <v>-22.866666666666671</v>
      </c>
      <c r="I39" s="10">
        <v>33.255218356926591</v>
      </c>
      <c r="J39" s="10">
        <v>-33.255218356926591</v>
      </c>
      <c r="K39" s="10">
        <v>-4.1900741414141427</v>
      </c>
      <c r="L39" s="10">
        <v>0.1</v>
      </c>
      <c r="M39" s="10">
        <v>-19.034074747474751</v>
      </c>
    </row>
    <row r="40" spans="2:13">
      <c r="B40" s="10">
        <v>0.2</v>
      </c>
      <c r="C40" s="10">
        <v>27.716107794407343</v>
      </c>
      <c r="E40" s="10">
        <v>39.282465518736188</v>
      </c>
      <c r="F40" s="10">
        <v>-143.49892906213648</v>
      </c>
      <c r="G40" s="10">
        <v>28.523259191919188</v>
      </c>
      <c r="H40" s="10">
        <v>-41.900741414141422</v>
      </c>
      <c r="I40" s="10">
        <v>31.597415656196208</v>
      </c>
      <c r="J40" s="10">
        <v>-31.597415656196208</v>
      </c>
      <c r="K40" s="10">
        <v>-5.6250634320355068</v>
      </c>
      <c r="L40" s="10">
        <v>0.1</v>
      </c>
      <c r="M40" s="10">
        <v>-14.349892906213649</v>
      </c>
    </row>
    <row r="41" spans="2:13">
      <c r="B41" s="10">
        <v>0.30000000000000004</v>
      </c>
      <c r="C41" s="10">
        <v>21.940137885104146</v>
      </c>
      <c r="E41" s="10">
        <v>53.286596647045727</v>
      </c>
      <c r="F41" s="10">
        <v>-92.072487803604204</v>
      </c>
      <c r="G41" s="10">
        <v>22.898195759883681</v>
      </c>
      <c r="H41" s="10">
        <v>-56.250634320355068</v>
      </c>
      <c r="I41" s="10">
        <v>30.022255918896452</v>
      </c>
      <c r="J41" s="10">
        <v>-30.022255918896452</v>
      </c>
      <c r="K41" s="10">
        <v>-6.5457883100715497</v>
      </c>
      <c r="L41" s="10">
        <v>0.1</v>
      </c>
      <c r="M41" s="10">
        <v>-9.2072487803604215</v>
      </c>
    </row>
    <row r="42" spans="2:13">
      <c r="B42" s="10">
        <v>0.4</v>
      </c>
      <c r="C42" s="10">
        <v>15.370531039770903</v>
      </c>
      <c r="E42" s="10">
        <v>62.742827700974338</v>
      </c>
      <c r="F42" s="10">
        <v>-39.890166410010536</v>
      </c>
      <c r="G42" s="10">
        <v>16.35240744981213</v>
      </c>
      <c r="H42" s="10">
        <v>-65.457883100715492</v>
      </c>
      <c r="I42" s="10">
        <v>28.525619318583811</v>
      </c>
      <c r="J42" s="10">
        <v>-28.525619318583811</v>
      </c>
      <c r="K42" s="10">
        <v>-6.9446899741716557</v>
      </c>
      <c r="L42" s="10">
        <v>0.1</v>
      </c>
      <c r="M42" s="10">
        <v>-3.9890166410010539</v>
      </c>
    </row>
    <row r="43" spans="2:13">
      <c r="B43" s="10">
        <v>0.5</v>
      </c>
      <c r="C43" s="10">
        <v>8.4902212797009007</v>
      </c>
      <c r="E43" s="10">
        <v>67.467456669099903</v>
      </c>
      <c r="F43" s="10">
        <v>9.5614841980256742</v>
      </c>
      <c r="G43" s="10">
        <v>9.4077174756404744</v>
      </c>
      <c r="H43" s="10">
        <v>-69.44689974171655</v>
      </c>
      <c r="I43" s="10">
        <v>27.103591405887663</v>
      </c>
      <c r="J43" s="10">
        <v>-27.103591405887663</v>
      </c>
      <c r="K43" s="10">
        <v>-6.8490751321913983</v>
      </c>
      <c r="L43" s="10">
        <v>0.1</v>
      </c>
      <c r="M43" s="10">
        <v>0.95614841980256748</v>
      </c>
    </row>
    <row r="44" spans="2:13">
      <c r="B44" s="10">
        <v>0.6</v>
      </c>
      <c r="C44" s="10">
        <v>1.7543842964300376</v>
      </c>
      <c r="E44" s="10">
        <v>67.586679876499886</v>
      </c>
      <c r="F44" s="10">
        <v>53.330895995968959</v>
      </c>
      <c r="G44" s="10">
        <v>2.5586423434490762</v>
      </c>
      <c r="H44" s="10">
        <v>-68.490751321913976</v>
      </c>
      <c r="I44" s="10">
        <v>25.752452870277516</v>
      </c>
      <c r="J44" s="10">
        <v>-25.752452870277516</v>
      </c>
      <c r="K44" s="10">
        <v>-6.315766172231708</v>
      </c>
      <c r="L44" s="10">
        <v>0.1</v>
      </c>
      <c r="M44" s="10">
        <v>5.3330895995968959</v>
      </c>
    </row>
    <row r="45" spans="2:13">
      <c r="B45" s="10">
        <v>0.7</v>
      </c>
      <c r="C45" s="10">
        <v>-4.4349784209884762</v>
      </c>
      <c r="E45" s="10">
        <v>63.501293504419181</v>
      </c>
      <c r="F45" s="10">
        <v>89.139605473143547</v>
      </c>
      <c r="G45" s="10">
        <v>-3.7571238287826318</v>
      </c>
      <c r="H45" s="10">
        <v>-63.15766172231708</v>
      </c>
      <c r="I45" s="10">
        <v>24.468669812215424</v>
      </c>
      <c r="J45" s="10">
        <v>-24.468669812215424</v>
      </c>
      <c r="K45" s="10">
        <v>-5.4243701175002732</v>
      </c>
      <c r="L45" s="10">
        <v>0.1</v>
      </c>
      <c r="M45" s="10">
        <v>8.9139605473143551</v>
      </c>
    </row>
    <row r="46" spans="2:13">
      <c r="B46" s="10">
        <v>0.79999999999999993</v>
      </c>
      <c r="C46" s="10">
        <v>-9.7487002462754333</v>
      </c>
      <c r="E46" s="10">
        <v>55.837483652630574</v>
      </c>
      <c r="F46" s="10">
        <v>115.46227301439203</v>
      </c>
      <c r="G46" s="10">
        <v>-9.1814939462829059</v>
      </c>
      <c r="H46" s="10">
        <v>-54.243701175002727</v>
      </c>
      <c r="I46" s="10">
        <v>23.248884500250337</v>
      </c>
      <c r="J46" s="10">
        <v>-23.248884500250337</v>
      </c>
      <c r="K46" s="10">
        <v>-4.269747387356353</v>
      </c>
      <c r="L46" s="10">
        <v>0.1</v>
      </c>
      <c r="M46" s="10">
        <v>11.546227301439203</v>
      </c>
    </row>
    <row r="47" spans="2:13">
      <c r="B47" s="10">
        <v>0.89999999999999991</v>
      </c>
      <c r="C47" s="10">
        <v>-13.943700003407475</v>
      </c>
      <c r="E47" s="10">
        <v>45.387991656415643</v>
      </c>
      <c r="F47" s="10">
        <v>131.54931438683013</v>
      </c>
      <c r="G47" s="10">
        <v>-13.45124133363926</v>
      </c>
      <c r="H47" s="10">
        <v>-42.697473873563524</v>
      </c>
      <c r="I47" s="10">
        <v>22.089906588879749</v>
      </c>
      <c r="J47" s="10">
        <v>-22.089906588879749</v>
      </c>
      <c r="K47" s="10">
        <v>-2.9542542434880512</v>
      </c>
      <c r="L47" s="10">
        <v>0.1</v>
      </c>
      <c r="M47" s="10">
        <v>13.154931438683015</v>
      </c>
    </row>
    <row r="48" spans="2:13">
      <c r="B48" s="10">
        <v>0.99999999999999989</v>
      </c>
      <c r="C48" s="10">
        <v>-16.869627209735292</v>
      </c>
      <c r="E48" s="10">
        <v>33.048158679229772</v>
      </c>
      <c r="F48" s="10">
        <v>137.39653495775352</v>
      </c>
      <c r="G48" s="10">
        <v>-16.405495577127311</v>
      </c>
      <c r="H48" s="10">
        <v>-29.542542434880509</v>
      </c>
      <c r="I48" s="10">
        <v>20.988704774208784</v>
      </c>
      <c r="J48" s="10">
        <v>-20.988704774208784</v>
      </c>
      <c r="K48" s="10">
        <v>-1.5802888939105157</v>
      </c>
      <c r="L48" s="10">
        <v>0.1</v>
      </c>
      <c r="M48" s="10">
        <v>13.739653495775352</v>
      </c>
    </row>
    <row r="49" spans="2:13">
      <c r="B49" s="10">
        <v>1.0999999999999999</v>
      </c>
      <c r="C49" s="10">
        <v>-18.469133673468235</v>
      </c>
      <c r="E49" s="10">
        <v>19.75127215656461</v>
      </c>
      <c r="F49" s="10">
        <v>133.66917071668348</v>
      </c>
      <c r="G49" s="10">
        <v>-17.985784471037828</v>
      </c>
      <c r="H49" s="10">
        <v>-15.802888939105157</v>
      </c>
      <c r="I49" s="10">
        <v>19.942398865582309</v>
      </c>
      <c r="J49" s="10">
        <v>-19.942398865582309</v>
      </c>
      <c r="K49" s="10">
        <v>-0.24359718674368092</v>
      </c>
      <c r="L49" s="10">
        <v>0.1</v>
      </c>
      <c r="M49" s="10">
        <v>13.366917071668349</v>
      </c>
    </row>
    <row r="50" spans="2:13">
      <c r="B50" s="10">
        <v>1.2</v>
      </c>
      <c r="C50" s="10">
        <v>-18.772374294764116</v>
      </c>
      <c r="E50" s="10">
        <v>6.4072880000820307</v>
      </c>
      <c r="F50" s="10">
        <v>121.58996169526321</v>
      </c>
      <c r="G50" s="10">
        <v>-18.229381657781509</v>
      </c>
      <c r="H50" s="10">
        <v>-2.4359718674368089</v>
      </c>
      <c r="I50" s="10">
        <v>18.94825225245328</v>
      </c>
      <c r="J50" s="10">
        <v>-18.94825225245328</v>
      </c>
      <c r="K50" s="10">
        <v>0.97230243020895135</v>
      </c>
      <c r="L50" s="10">
        <v>0.1</v>
      </c>
      <c r="M50" s="10">
        <v>12.158996169526322</v>
      </c>
    </row>
    <row r="51" spans="2:13">
      <c r="B51" s="10">
        <v>1.3</v>
      </c>
      <c r="C51" s="10">
        <v>-17.886637752474012</v>
      </c>
      <c r="E51" s="10">
        <v>6.1515680951939729</v>
      </c>
      <c r="F51" s="10">
        <v>102.80224882633706</v>
      </c>
      <c r="G51" s="10">
        <v>-17.257079227572557</v>
      </c>
      <c r="H51" s="10">
        <v>9.7230243020895131</v>
      </c>
      <c r="I51" s="10">
        <v>18.003664746784565</v>
      </c>
      <c r="J51" s="10">
        <v>-18.003664746784565</v>
      </c>
      <c r="K51" s="10">
        <v>2.0003249184723222</v>
      </c>
      <c r="L51" s="10">
        <v>0.1</v>
      </c>
      <c r="M51" s="10">
        <v>10.280224882633707</v>
      </c>
    </row>
    <row r="52" spans="2:13">
      <c r="B52" s="10">
        <v>1.4000000000000001</v>
      </c>
      <c r="C52" s="10">
        <v>-15.982221005427292</v>
      </c>
      <c r="E52" s="10">
        <v>17.215554290081052</v>
      </c>
      <c r="F52" s="10">
        <v>79.219593001745523</v>
      </c>
      <c r="G52" s="10">
        <v>-15.256754309100234</v>
      </c>
      <c r="H52" s="10">
        <v>20.00324918472322</v>
      </c>
      <c r="I52" s="10">
        <v>17.106165782263492</v>
      </c>
      <c r="J52" s="10">
        <v>-17.106165782263492</v>
      </c>
      <c r="K52" s="10">
        <v>2.7925208484897777</v>
      </c>
      <c r="L52" s="10">
        <v>0.1</v>
      </c>
      <c r="M52" s="10">
        <v>7.921959300174553</v>
      </c>
    </row>
    <row r="53" spans="2:13">
      <c r="B53" s="10">
        <v>1.5000000000000002</v>
      </c>
      <c r="C53" s="10">
        <v>-13.275785249736543</v>
      </c>
      <c r="E53" s="10">
        <v>26.230598909727085</v>
      </c>
      <c r="F53" s="10">
        <v>52.873119628555003</v>
      </c>
      <c r="G53" s="10">
        <v>-12.464233460610457</v>
      </c>
      <c r="H53" s="10">
        <v>27.925208484897773</v>
      </c>
      <c r="I53" s="10">
        <v>16.253407952541668</v>
      </c>
      <c r="J53" s="10">
        <v>-16.253407952541668</v>
      </c>
      <c r="K53" s="10">
        <v>3.3212520447753278</v>
      </c>
      <c r="L53" s="10">
        <v>0.1</v>
      </c>
      <c r="M53" s="10">
        <v>5.287311962855501</v>
      </c>
    </row>
    <row r="54" spans="2:13">
      <c r="B54" s="10">
        <v>1.6000000000000003</v>
      </c>
      <c r="C54" s="10">
        <v>-10.012466214929102</v>
      </c>
      <c r="E54" s="10">
        <v>32.818885325262542</v>
      </c>
      <c r="F54" s="10">
        <v>25.766794792193366</v>
      </c>
      <c r="G54" s="10">
        <v>-9.1429814158351288</v>
      </c>
      <c r="H54" s="10">
        <v>33.212520447753278</v>
      </c>
      <c r="I54" s="10">
        <v>15.443160871599437</v>
      </c>
      <c r="J54" s="10">
        <v>-15.443160871599437</v>
      </c>
      <c r="K54" s="10">
        <v>3.5789199926972617</v>
      </c>
      <c r="L54" s="10">
        <v>0.1</v>
      </c>
      <c r="M54" s="10">
        <v>2.5766794792193366</v>
      </c>
    </row>
    <row r="55" spans="2:13">
      <c r="B55" s="10">
        <v>1.7000000000000004</v>
      </c>
      <c r="C55" s="10">
        <v>-6.4479648759348134</v>
      </c>
      <c r="E55" s="10">
        <v>36.786674940733292</v>
      </c>
      <c r="F55" s="10">
        <v>-0.25072286990307191</v>
      </c>
      <c r="G55" s="10">
        <v>-5.5640614231378667</v>
      </c>
      <c r="H55" s="10">
        <v>35.789199926972614</v>
      </c>
      <c r="I55" s="10">
        <v>14.673305340176688</v>
      </c>
      <c r="J55" s="10">
        <v>-14.673305340176688</v>
      </c>
      <c r="K55" s="10">
        <v>3.5764127639982308</v>
      </c>
      <c r="L55" s="10">
        <v>0.1</v>
      </c>
      <c r="M55" s="10">
        <v>-2.5072286990307193E-2</v>
      </c>
    </row>
    <row r="56" spans="2:13">
      <c r="B56" s="10">
        <v>1.8000000000000005</v>
      </c>
      <c r="C56" s="10">
        <v>-2.8317266724394519</v>
      </c>
      <c r="E56" s="10">
        <v>38.120013970422114</v>
      </c>
      <c r="F56" s="10">
        <v>-23.590977482996887</v>
      </c>
      <c r="G56" s="10">
        <v>-1.9876486591396358</v>
      </c>
      <c r="H56" s="10">
        <v>35.764127639982306</v>
      </c>
      <c r="I56" s="10">
        <v>13.941827803012364</v>
      </c>
      <c r="J56" s="10">
        <v>-13.941827803012364</v>
      </c>
      <c r="K56" s="10">
        <v>3.3405029891682618</v>
      </c>
      <c r="L56" s="10">
        <v>0.1</v>
      </c>
      <c r="M56" s="10">
        <v>-2.3590977482996887</v>
      </c>
    </row>
    <row r="57" spans="2:13">
      <c r="B57" s="10">
        <v>1.9000000000000006</v>
      </c>
      <c r="C57" s="10">
        <v>0.60785763078088972</v>
      </c>
      <c r="E57" s="10">
        <v>36.969664324754802</v>
      </c>
      <c r="F57" s="10">
        <v>-43.002883406013943</v>
      </c>
      <c r="G57" s="10">
        <v>1.352854330028626</v>
      </c>
      <c r="H57" s="10">
        <v>33.405029891682616</v>
      </c>
      <c r="I57" s="10">
        <v>13.246815082395607</v>
      </c>
      <c r="J57" s="10">
        <v>-13.246815082395607</v>
      </c>
      <c r="K57" s="10">
        <v>2.9104741551081226</v>
      </c>
      <c r="L57" s="10">
        <v>0.1</v>
      </c>
      <c r="M57" s="10">
        <v>-4.3002883406013943</v>
      </c>
    </row>
    <row r="58" spans="2:13">
      <c r="B58" s="10">
        <v>2.0000000000000004</v>
      </c>
      <c r="C58" s="10">
        <v>3.6755118940568225</v>
      </c>
      <c r="E58" s="10">
        <v>33.627148815649669</v>
      </c>
      <c r="F58" s="10">
        <v>-57.619959052862853</v>
      </c>
      <c r="G58" s="10">
        <v>4.2633284851367481</v>
      </c>
      <c r="H58" s="10">
        <v>29.104741551081222</v>
      </c>
      <c r="I58" s="10">
        <v>12.586449374254126</v>
      </c>
      <c r="J58" s="10">
        <v>-12.586449374254126</v>
      </c>
      <c r="K58" s="10">
        <v>2.3342745645794936</v>
      </c>
      <c r="L58" s="10">
        <v>0.1</v>
      </c>
      <c r="M58" s="10">
        <v>-5.7619959052862857</v>
      </c>
    </row>
    <row r="59" spans="2:13">
      <c r="B59" s="10">
        <v>2.1000000000000005</v>
      </c>
      <c r="C59" s="10">
        <v>6.217916761921952</v>
      </c>
      <c r="E59" s="10">
        <v>28.494184750107692</v>
      </c>
      <c r="F59" s="10">
        <v>-66.977602517103065</v>
      </c>
      <c r="G59" s="10">
        <v>6.5976030497162412</v>
      </c>
      <c r="H59" s="10">
        <v>23.342745645794935</v>
      </c>
      <c r="I59" s="10">
        <v>11.959003493692085</v>
      </c>
      <c r="J59" s="10">
        <v>-11.959003493692085</v>
      </c>
      <c r="K59" s="10">
        <v>1.6644985394084628</v>
      </c>
      <c r="L59" s="10">
        <v>0.1</v>
      </c>
      <c r="M59" s="10">
        <v>-6.6977602517103065</v>
      </c>
    </row>
    <row r="60" spans="2:13">
      <c r="B60" s="10">
        <v>2.2000000000000006</v>
      </c>
      <c r="C60" s="10">
        <v>8.1291007080828148</v>
      </c>
      <c r="E60" s="10">
        <v>22.047988700312082</v>
      </c>
      <c r="F60" s="10">
        <v>-71.002344232292202</v>
      </c>
      <c r="G60" s="10">
        <v>8.262101589124704</v>
      </c>
      <c r="H60" s="10">
        <v>16.644985394084628</v>
      </c>
      <c r="I60" s="10">
        <v>11.362836357542239</v>
      </c>
      <c r="J60" s="10">
        <v>-11.362836357542239</v>
      </c>
      <c r="K60" s="10">
        <v>0.95447509708554079</v>
      </c>
      <c r="L60" s="10">
        <v>0.1</v>
      </c>
      <c r="M60" s="10">
        <v>-7.1002344232292209</v>
      </c>
    </row>
    <row r="61" spans="2:13">
      <c r="B61" s="10">
        <v>2.3000000000000007</v>
      </c>
      <c r="C61" s="10">
        <v>9.3523824881317257</v>
      </c>
      <c r="E61" s="10">
        <v>14.804971390758444</v>
      </c>
      <c r="F61" s="10">
        <v>-69.976644812524199</v>
      </c>
      <c r="G61" s="10">
        <v>9.2165766862102441</v>
      </c>
      <c r="H61" s="10">
        <v>9.5447509708554072</v>
      </c>
      <c r="I61" s="10">
        <v>10.796388692116899</v>
      </c>
      <c r="J61" s="10">
        <v>-10.796388692116899</v>
      </c>
      <c r="K61" s="10">
        <v>0.25470864896029871</v>
      </c>
      <c r="L61" s="10">
        <v>0.1</v>
      </c>
      <c r="M61" s="10">
        <v>-6.9976644812524205</v>
      </c>
    </row>
    <row r="62" spans="2:13">
      <c r="B62" s="10">
        <v>2.4000000000000008</v>
      </c>
      <c r="C62" s="10">
        <v>9.8790802829382969</v>
      </c>
      <c r="E62" s="10">
        <v>7.2852182798531082</v>
      </c>
      <c r="F62" s="10">
        <v>-64.484039008693031</v>
      </c>
      <c r="G62" s="10">
        <v>9.4712853351705419</v>
      </c>
      <c r="H62" s="10">
        <v>2.5470864896029868</v>
      </c>
      <c r="I62" s="10">
        <v>10.258178954931443</v>
      </c>
      <c r="J62" s="10">
        <v>-10.258178954931443</v>
      </c>
      <c r="K62" s="10">
        <v>-0.39013174112663168</v>
      </c>
      <c r="L62" s="10">
        <v>0.1</v>
      </c>
      <c r="M62" s="10">
        <v>-6.4484039008693035</v>
      </c>
    </row>
    <row r="63" spans="2:13">
      <c r="B63" s="10">
        <v>2.5000000000000009</v>
      </c>
      <c r="C63" s="10">
        <v>9.7443815955984494</v>
      </c>
      <c r="E63" s="10">
        <v>2.0109671351988722E-2</v>
      </c>
      <c r="F63" s="10">
        <v>-55.340219765019057</v>
      </c>
      <c r="G63" s="10">
        <v>9.0811535940439096</v>
      </c>
      <c r="H63" s="10">
        <v>-3.9013174112663167</v>
      </c>
      <c r="I63" s="10">
        <v>9.7467994597335483</v>
      </c>
      <c r="J63" s="10">
        <v>-9.7467994597335483</v>
      </c>
      <c r="K63" s="10">
        <v>-0.94353393877682246</v>
      </c>
      <c r="L63" s="10">
        <v>0.1</v>
      </c>
      <c r="M63" s="10">
        <v>-5.5340219765019061</v>
      </c>
    </row>
    <row r="64" spans="2:13">
      <c r="B64" s="10">
        <v>2.600000000000001</v>
      </c>
      <c r="C64" s="10">
        <v>9.0209050246241045</v>
      </c>
      <c r="E64" s="10">
        <v>6.6766909488443842</v>
      </c>
      <c r="F64" s="10">
        <v>-43.516002828436569</v>
      </c>
      <c r="G64" s="10">
        <v>8.1376196552670876</v>
      </c>
      <c r="H64" s="10">
        <v>-9.4353393877682237</v>
      </c>
      <c r="I64" s="10">
        <v>9.2609126947032347</v>
      </c>
      <c r="J64" s="10">
        <v>-9.2609126947032347</v>
      </c>
      <c r="K64" s="10">
        <v>-1.3786939670611882</v>
      </c>
      <c r="L64" s="10">
        <v>0.1</v>
      </c>
      <c r="M64" s="10">
        <v>-4.3516002828436573</v>
      </c>
    </row>
    <row r="65" spans="2:13">
      <c r="B65" s="10">
        <v>2.7000000000000011</v>
      </c>
      <c r="C65" s="10">
        <v>7.8105759659615952</v>
      </c>
      <c r="E65" s="10">
        <v>12.328957097384144</v>
      </c>
      <c r="F65" s="10">
        <v>-30.05803528769821</v>
      </c>
      <c r="G65" s="10">
        <v>6.758925688205899</v>
      </c>
      <c r="H65" s="10">
        <v>-13.786939670611881</v>
      </c>
      <c r="I65" s="10">
        <v>8.7992478241939853</v>
      </c>
      <c r="J65" s="10">
        <v>-8.7992478241939853</v>
      </c>
      <c r="K65" s="10">
        <v>-1.6792743199381706</v>
      </c>
      <c r="L65" s="10">
        <v>0.1</v>
      </c>
      <c r="M65" s="10">
        <v>-3.005803528769821</v>
      </c>
    </row>
    <row r="66" spans="2:13">
      <c r="B66" s="10">
        <v>2.8000000000000012</v>
      </c>
      <c r="C66" s="10">
        <v>6.2354819646388524</v>
      </c>
      <c r="E66" s="10">
        <v>16.715177082201674</v>
      </c>
      <c r="F66" s="10">
        <v>-16.012659152102728</v>
      </c>
      <c r="G66" s="10">
        <v>5.0796513682677285</v>
      </c>
      <c r="H66" s="10">
        <v>-16.792743199381704</v>
      </c>
      <c r="I66" s="10">
        <v>8.3605973648652068</v>
      </c>
      <c r="J66" s="10">
        <v>-8.3605973648652068</v>
      </c>
      <c r="K66" s="10">
        <v>-1.8394009114591978</v>
      </c>
      <c r="L66" s="10">
        <v>0.1</v>
      </c>
      <c r="M66" s="10">
        <v>-1.6012659152102728</v>
      </c>
    </row>
    <row r="67" spans="2:13">
      <c r="B67" s="10">
        <v>2.9000000000000012</v>
      </c>
      <c r="C67" s="10">
        <v>4.4283717407697747</v>
      </c>
      <c r="E67" s="10">
        <v>19.67538165377756</v>
      </c>
      <c r="F67" s="10">
        <v>-2.3575815415284893</v>
      </c>
      <c r="G67" s="10">
        <v>3.2402504568085306</v>
      </c>
      <c r="H67" s="10">
        <v>-18.394009114591977</v>
      </c>
      <c r="I67" s="10">
        <v>7.9438140275124995</v>
      </c>
      <c r="J67" s="10">
        <v>-7.9438140275124995</v>
      </c>
      <c r="K67" s="10">
        <v>-1.8629767268744826</v>
      </c>
      <c r="L67" s="10">
        <v>0.1</v>
      </c>
      <c r="M67" s="10">
        <v>-0.23575815415284895</v>
      </c>
    </row>
    <row r="68" spans="2:13">
      <c r="B68" s="10">
        <v>3.0000000000000013</v>
      </c>
      <c r="C68" s="10">
        <v>2.523419369214265</v>
      </c>
      <c r="E68" s="10">
        <v>21.15227059252144</v>
      </c>
      <c r="F68" s="10">
        <v>10.054982701404759</v>
      </c>
      <c r="G68" s="10">
        <v>1.3772737299340481</v>
      </c>
      <c r="H68" s="10">
        <v>-18.629767268744825</v>
      </c>
      <c r="I68" s="10">
        <v>7.5478077163355604</v>
      </c>
      <c r="J68" s="10">
        <v>-7.5478077163355604</v>
      </c>
      <c r="K68" s="10">
        <v>-1.7624268998604351</v>
      </c>
      <c r="L68" s="10">
        <v>0.1</v>
      </c>
      <c r="M68" s="10">
        <v>1.005498270140476</v>
      </c>
    </row>
    <row r="69" spans="2:13">
      <c r="B69" s="10">
        <v>3.1000000000000014</v>
      </c>
      <c r="C69" s="10">
        <v>0.64779829651040033</v>
      </c>
      <c r="E69" s="10">
        <v>21.185668488780223</v>
      </c>
      <c r="F69" s="10">
        <v>20.541154610273512</v>
      </c>
      <c r="G69" s="10">
        <v>-0.38515316992638704</v>
      </c>
      <c r="H69" s="10">
        <v>-17.62426899860435</v>
      </c>
      <c r="I69" s="10">
        <v>7.171542677795272</v>
      </c>
      <c r="J69" s="10">
        <v>-7.171542677795272</v>
      </c>
      <c r="K69" s="10">
        <v>-1.5570153537577001</v>
      </c>
      <c r="L69" s="10">
        <v>0.1</v>
      </c>
      <c r="M69" s="10">
        <v>2.0541154610273513</v>
      </c>
    </row>
    <row r="70" spans="2:13">
      <c r="B70" s="10">
        <v>3.2000000000000015</v>
      </c>
      <c r="C70" s="10">
        <v>-1.0854930941687679</v>
      </c>
      <c r="E70" s="10">
        <v>19.901444918381152</v>
      </c>
      <c r="F70" s="10">
        <v>28.61285501816706</v>
      </c>
      <c r="G70" s="10">
        <v>-1.9421685236840871</v>
      </c>
      <c r="H70" s="10">
        <v>-15.570153537576999</v>
      </c>
      <c r="I70" s="10">
        <v>6.8140347916028512</v>
      </c>
      <c r="J70" s="10">
        <v>-6.8140347916028512</v>
      </c>
      <c r="K70" s="10">
        <v>-1.2708868035760295</v>
      </c>
      <c r="L70" s="10">
        <v>0.1</v>
      </c>
      <c r="M70" s="10">
        <v>2.861285501816706</v>
      </c>
    </row>
    <row r="71" spans="2:13">
      <c r="B71" s="10">
        <v>3.3000000000000016</v>
      </c>
      <c r="C71" s="10">
        <v>-2.5832329042326134</v>
      </c>
      <c r="E71" s="10">
        <v>17.496077205688724</v>
      </c>
      <c r="F71" s="10">
        <v>33.989667417096697</v>
      </c>
      <c r="G71" s="10">
        <v>-3.2130553272601166</v>
      </c>
      <c r="H71" s="10">
        <v>-12.708868035760293</v>
      </c>
      <c r="I71" s="10">
        <v>6.4743489967556442</v>
      </c>
      <c r="J71" s="10">
        <v>-6.4743489967556442</v>
      </c>
      <c r="K71" s="10">
        <v>-0.93099012940506243</v>
      </c>
      <c r="L71" s="10">
        <v>0.1</v>
      </c>
      <c r="M71" s="10">
        <v>3.3989667417096698</v>
      </c>
    </row>
    <row r="72" spans="2:13">
      <c r="B72" s="10">
        <v>3.4000000000000017</v>
      </c>
      <c r="C72" s="10">
        <v>-3.7758110720994233</v>
      </c>
      <c r="E72" s="10">
        <v>14.218199934623227</v>
      </c>
      <c r="F72" s="10">
        <v>36.595920276703673</v>
      </c>
      <c r="G72" s="10">
        <v>-4.1440454566651788</v>
      </c>
      <c r="H72" s="10">
        <v>-9.3099012940506238</v>
      </c>
      <c r="I72" s="10">
        <v>6.1515968458873598</v>
      </c>
      <c r="J72" s="10">
        <v>-6.1515968458873598</v>
      </c>
      <c r="K72" s="10">
        <v>-0.56503092663802568</v>
      </c>
      <c r="L72" s="10">
        <v>0.1</v>
      </c>
      <c r="M72" s="10">
        <v>3.6595920276703673</v>
      </c>
    </row>
    <row r="73" spans="2:13">
      <c r="B73" s="10">
        <v>3.5000000000000018</v>
      </c>
      <c r="C73" s="10">
        <v>-4.6192334532864168</v>
      </c>
      <c r="E73" s="10">
        <v>10.348553215245047</v>
      </c>
      <c r="F73" s="10">
        <v>36.544691090318324</v>
      </c>
      <c r="G73" s="10">
        <v>-4.7090763833032048</v>
      </c>
      <c r="H73" s="10">
        <v>-5.6503092663802565</v>
      </c>
      <c r="I73" s="10">
        <v>5.8449341815361429</v>
      </c>
      <c r="J73" s="10">
        <v>-5.8449341815361429</v>
      </c>
      <c r="K73" s="10">
        <v>-0.19958401573484241</v>
      </c>
      <c r="L73" s="10">
        <v>0.1</v>
      </c>
      <c r="M73" s="10">
        <v>3.6544691090318326</v>
      </c>
    </row>
    <row r="74" spans="2:13">
      <c r="B74" s="10">
        <v>3.6000000000000019</v>
      </c>
      <c r="C74" s="10">
        <v>-5.0953488741153921</v>
      </c>
      <c r="E74" s="10">
        <v>6.1797159260082246</v>
      </c>
      <c r="F74" s="10">
        <v>34.111114767973106</v>
      </c>
      <c r="G74" s="10">
        <v>-4.9086603990380473</v>
      </c>
      <c r="H74" s="10">
        <v>-1.9958401573484239</v>
      </c>
      <c r="I74" s="10">
        <v>5.5535589282528131</v>
      </c>
      <c r="J74" s="10">
        <v>-5.5535589282528131</v>
      </c>
      <c r="K74" s="10">
        <v>0.14152713194488872</v>
      </c>
      <c r="L74" s="10">
        <v>0.1</v>
      </c>
      <c r="M74" s="10">
        <v>3.411111476797311</v>
      </c>
    </row>
    <row r="75" spans="2:13">
      <c r="B75" s="10">
        <v>3.700000000000002</v>
      </c>
      <c r="C75" s="10">
        <v>-5.2104578914359587</v>
      </c>
      <c r="E75" s="10">
        <v>1.9969006290464351</v>
      </c>
      <c r="F75" s="10">
        <v>29.697834101632886</v>
      </c>
      <c r="G75" s="10">
        <v>-4.7671332670931585</v>
      </c>
      <c r="H75" s="10">
        <v>1.4152713194488871</v>
      </c>
      <c r="I75" s="10">
        <v>5.276708994774471</v>
      </c>
      <c r="J75" s="10">
        <v>-5.276708994774471</v>
      </c>
      <c r="K75" s="10">
        <v>0.43850547296121756</v>
      </c>
      <c r="L75" s="10">
        <v>0.1</v>
      </c>
      <c r="M75" s="10">
        <v>2.9697834101632887</v>
      </c>
    </row>
    <row r="76" spans="2:13">
      <c r="B76" s="10">
        <v>3.800000000000002</v>
      </c>
      <c r="C76" s="10">
        <v>-4.9925465151024717</v>
      </c>
      <c r="E76" s="10">
        <v>1.9390921839990456</v>
      </c>
      <c r="F76" s="10">
        <v>23.795653190619262</v>
      </c>
      <c r="G76" s="10">
        <v>-4.3286277941319407</v>
      </c>
      <c r="H76" s="10">
        <v>4.3850547296121754</v>
      </c>
      <c r="I76" s="10">
        <v>5.0136602807766755</v>
      </c>
      <c r="J76" s="10">
        <v>-5.0136602807766755</v>
      </c>
      <c r="K76" s="10">
        <v>0.67646200486741026</v>
      </c>
      <c r="L76" s="10">
        <v>0.1</v>
      </c>
      <c r="M76" s="10">
        <v>2.3795653190619261</v>
      </c>
    </row>
    <row r="77" spans="2:13">
      <c r="B77" s="10">
        <v>3.9000000000000021</v>
      </c>
      <c r="C77" s="10">
        <v>-4.4874494320686606</v>
      </c>
      <c r="E77" s="10">
        <v>5.4058941433175525</v>
      </c>
      <c r="F77" s="10">
        <v>16.942455076444908</v>
      </c>
      <c r="G77" s="10">
        <v>-3.6521657892645303</v>
      </c>
      <c r="H77" s="10">
        <v>6.7646200486741019</v>
      </c>
      <c r="I77" s="10">
        <v>4.7637247829908071</v>
      </c>
      <c r="J77" s="10">
        <v>-4.7637247829908071</v>
      </c>
      <c r="K77" s="10">
        <v>0.84588655563185933</v>
      </c>
      <c r="L77" s="10">
        <v>0.1</v>
      </c>
      <c r="M77" s="10">
        <v>1.6942455076444909</v>
      </c>
    </row>
    <row r="78" spans="2:13">
      <c r="B78" s="10">
        <v>4.0000000000000018</v>
      </c>
      <c r="C78" s="10">
        <v>-3.7542837852558688</v>
      </c>
      <c r="E78" s="10">
        <v>8.229961524780288</v>
      </c>
      <c r="F78" s="10">
        <v>9.6832451589530741</v>
      </c>
      <c r="G78" s="10">
        <v>-2.806279233632671</v>
      </c>
      <c r="H78" s="10">
        <v>8.4588655563185924</v>
      </c>
      <c r="I78" s="10">
        <v>4.5262487957332009</v>
      </c>
      <c r="J78" s="10">
        <v>-4.5262487957332009</v>
      </c>
      <c r="K78" s="10">
        <v>0.94271900722139002</v>
      </c>
      <c r="L78" s="10">
        <v>0.1</v>
      </c>
      <c r="M78" s="10">
        <v>0.96832451589530744</v>
      </c>
    </row>
    <row r="79" spans="2:13">
      <c r="B79" s="10">
        <v>4.1000000000000014</v>
      </c>
      <c r="C79" s="10">
        <v>-2.8605064593063227</v>
      </c>
      <c r="E79" s="10">
        <v>10.293016867228152</v>
      </c>
      <c r="F79" s="10">
        <v>2.5338157538500941</v>
      </c>
      <c r="G79" s="10">
        <v>-1.8635602264112809</v>
      </c>
      <c r="H79" s="10">
        <v>9.4271900722139002</v>
      </c>
      <c r="I79" s="10">
        <v>4.3006112011395334</v>
      </c>
      <c r="J79" s="10">
        <v>-4.3006112011395334</v>
      </c>
      <c r="K79" s="10">
        <v>0.96805716475989101</v>
      </c>
      <c r="L79" s="10">
        <v>0.1</v>
      </c>
      <c r="M79" s="10">
        <v>0.25338157538500944</v>
      </c>
    </row>
    <row r="80" spans="2:13">
      <c r="B80" s="10">
        <v>4.2000000000000011</v>
      </c>
      <c r="C80" s="10">
        <v>-1.8769367670217019</v>
      </c>
      <c r="E80" s="10">
        <v>11.534490137066266</v>
      </c>
      <c r="F80" s="10">
        <v>-4.0499646368007127</v>
      </c>
      <c r="G80" s="10">
        <v>-0.89550306165138993</v>
      </c>
      <c r="H80" s="10">
        <v>9.6805716475989101</v>
      </c>
      <c r="I80" s="10">
        <v>4.0862218446325578</v>
      </c>
      <c r="J80" s="10">
        <v>-4.0862218446325578</v>
      </c>
      <c r="K80" s="10">
        <v>0.92755751839188394</v>
      </c>
      <c r="L80" s="10">
        <v>0.1</v>
      </c>
      <c r="M80" s="10">
        <v>-0.40499646368007131</v>
      </c>
    </row>
    <row r="81" spans="2:13">
      <c r="B81" s="10">
        <v>4.3000000000000007</v>
      </c>
      <c r="C81" s="10">
        <v>-0.87305532956797882</v>
      </c>
      <c r="E81" s="10">
        <v>11.950162530685686</v>
      </c>
      <c r="F81" s="10">
        <v>-9.6958061615306477</v>
      </c>
      <c r="G81" s="10">
        <v>3.2054456740494008E-2</v>
      </c>
      <c r="H81" s="10">
        <v>9.2755751839188392</v>
      </c>
      <c r="I81" s="10">
        <v>3.8825199913742603</v>
      </c>
      <c r="J81" s="10">
        <v>-3.8825199913742603</v>
      </c>
      <c r="K81" s="10">
        <v>0.83059945677657743</v>
      </c>
      <c r="L81" s="10">
        <v>0.1</v>
      </c>
      <c r="M81" s="10">
        <v>-0.96958061615306479</v>
      </c>
    </row>
    <row r="82" spans="2:13">
      <c r="B82" s="10">
        <v>4.4000000000000004</v>
      </c>
      <c r="C82" s="10">
        <v>8.7157330172029424E-2</v>
      </c>
      <c r="E82" s="10">
        <v>11.587433647107597</v>
      </c>
      <c r="F82" s="10">
        <v>-14.130772739890165</v>
      </c>
      <c r="G82" s="10">
        <v>0.86265391351707144</v>
      </c>
      <c r="H82" s="10">
        <v>8.3059945677657741</v>
      </c>
      <c r="I82" s="10">
        <v>3.6889728596652516</v>
      </c>
      <c r="J82" s="10">
        <v>-3.6889728596652516</v>
      </c>
      <c r="K82" s="10">
        <v>0.6892917293776758</v>
      </c>
      <c r="L82" s="10">
        <v>0.1</v>
      </c>
      <c r="M82" s="10">
        <v>-1.4130772739890167</v>
      </c>
    </row>
    <row r="83" spans="2:13">
      <c r="B83" s="10">
        <v>4.5</v>
      </c>
      <c r="C83" s="10">
        <v>0.94863791619846105</v>
      </c>
      <c r="E83" s="10">
        <v>10.537805006455782</v>
      </c>
      <c r="F83" s="10">
        <v>-17.188952705244638</v>
      </c>
      <c r="G83" s="10">
        <v>1.5519456428947471</v>
      </c>
      <c r="H83" s="10">
        <v>6.8929172937767573</v>
      </c>
      <c r="I83" s="10">
        <v>3.5050742274555389</v>
      </c>
      <c r="J83" s="10">
        <v>-3.5050742274555389</v>
      </c>
      <c r="K83" s="10">
        <v>0.51740220232522938</v>
      </c>
      <c r="L83" s="10">
        <v>0.1</v>
      </c>
      <c r="M83" s="10">
        <v>-1.718895270524464</v>
      </c>
    </row>
    <row r="84" spans="2:13">
      <c r="B84" s="10">
        <v>4.5999999999999996</v>
      </c>
      <c r="C84" s="10">
        <v>1.6677745033530231</v>
      </c>
      <c r="E84" s="10">
        <v>8.9272930698377877</v>
      </c>
      <c r="F84" s="10">
        <v>-18.811352688308844</v>
      </c>
      <c r="G84" s="10">
        <v>2.0693478452199763</v>
      </c>
      <c r="H84" s="10">
        <v>5.1740220232522933</v>
      </c>
      <c r="I84" s="10">
        <v>3.3303431083219928</v>
      </c>
      <c r="J84" s="10">
        <v>-3.3303431083219928</v>
      </c>
      <c r="K84" s="10">
        <v>0.32928867544214091</v>
      </c>
      <c r="L84" s="10">
        <v>0.1</v>
      </c>
      <c r="M84" s="10">
        <v>-1.8811352688308844</v>
      </c>
    </row>
    <row r="85" spans="2:13">
      <c r="B85" s="10">
        <v>4.6999999999999993</v>
      </c>
      <c r="C85" s="10">
        <v>2.213987013192976</v>
      </c>
      <c r="E85" s="10">
        <v>6.9055501898323488</v>
      </c>
      <c r="F85" s="10">
        <v>-19.038817024741668</v>
      </c>
      <c r="G85" s="10">
        <v>2.3986365206621172</v>
      </c>
      <c r="H85" s="10">
        <v>3.2928867544214091</v>
      </c>
      <c r="I85" s="10">
        <v>3.1643224934495295</v>
      </c>
      <c r="J85" s="10">
        <v>-3.1643224934495295</v>
      </c>
      <c r="K85" s="10">
        <v>0.13890050519472422</v>
      </c>
      <c r="L85" s="10">
        <v>0.1</v>
      </c>
      <c r="M85" s="10">
        <v>-1.903881702474167</v>
      </c>
    </row>
    <row r="86" spans="2:13">
      <c r="B86" s="10">
        <v>4.7999999999999989</v>
      </c>
      <c r="C86" s="10">
        <v>2.5703491143451958</v>
      </c>
      <c r="E86" s="10">
        <v>4.6344831040924479</v>
      </c>
      <c r="F86" s="10">
        <v>-17.999148584180439</v>
      </c>
      <c r="G86" s="10">
        <v>2.5375370258568415</v>
      </c>
      <c r="H86" s="10">
        <v>1.3890050519472421</v>
      </c>
      <c r="I86" s="10">
        <v>3.0065781563256717</v>
      </c>
      <c r="J86" s="10">
        <v>-3.0065781563256717</v>
      </c>
      <c r="K86" s="10">
        <v>-4.1090980647080194E-2</v>
      </c>
      <c r="L86" s="10">
        <v>0.1</v>
      </c>
      <c r="M86" s="10">
        <v>-1.799914858418044</v>
      </c>
    </row>
    <row r="87" spans="2:13">
      <c r="B87" s="10">
        <v>4.8999999999999986</v>
      </c>
      <c r="C87" s="10">
        <v>2.7333063244999165</v>
      </c>
      <c r="E87" s="10">
        <v>2.2771197778344141</v>
      </c>
      <c r="F87" s="10">
        <v>-15.889865496328335</v>
      </c>
      <c r="G87" s="10">
        <v>2.4964460452097614</v>
      </c>
      <c r="H87" s="10">
        <v>-0.41090980647080189</v>
      </c>
      <c r="I87" s="10">
        <v>2.8566975170221718</v>
      </c>
      <c r="J87" s="10">
        <v>-2.8566975170221718</v>
      </c>
      <c r="K87" s="10">
        <v>-0.19998963561036356</v>
      </c>
      <c r="L87" s="10">
        <v>0.1</v>
      </c>
      <c r="M87" s="10">
        <v>-1.5889865496328337</v>
      </c>
    </row>
    <row r="88" spans="2:13">
      <c r="B88" s="10">
        <v>4.9999999999999982</v>
      </c>
      <c r="C88" s="10">
        <v>2.7115955900861</v>
      </c>
      <c r="E88" s="10">
        <v>1.2606556875613269E-2</v>
      </c>
      <c r="F88" s="10">
        <v>-12.958166663367653</v>
      </c>
      <c r="G88" s="10">
        <v>2.296456409599398</v>
      </c>
      <c r="H88" s="10">
        <v>-1.9998963561036356</v>
      </c>
      <c r="I88" s="10">
        <v>2.7142885630932105</v>
      </c>
      <c r="J88" s="10">
        <v>-2.7142885630932105</v>
      </c>
      <c r="K88" s="10">
        <v>-0.32957130224404008</v>
      </c>
      <c r="L88" s="10">
        <v>0.1</v>
      </c>
      <c r="M88" s="10">
        <v>-1.2958166663367654</v>
      </c>
    </row>
    <row r="89" spans="2:13">
      <c r="B89" s="10">
        <v>5.0999999999999979</v>
      </c>
      <c r="C89" s="10">
        <v>2.5245107067234001</v>
      </c>
      <c r="E89" s="10">
        <v>2.098603515619426</v>
      </c>
      <c r="F89" s="10">
        <v>-9.4797004435894454</v>
      </c>
      <c r="G89" s="10">
        <v>1.9668851073553579</v>
      </c>
      <c r="H89" s="10">
        <v>-3.2957130224404008</v>
      </c>
      <c r="I89" s="10">
        <v>2.5789788242678067</v>
      </c>
      <c r="J89" s="10">
        <v>-2.5789788242678067</v>
      </c>
      <c r="K89" s="10">
        <v>-0.42436830667993458</v>
      </c>
      <c r="L89" s="10">
        <v>0.1</v>
      </c>
      <c r="M89" s="10">
        <v>-0.94797004435894461</v>
      </c>
    </row>
    <row r="90" spans="2:13">
      <c r="B90" s="10">
        <v>5.1999999999999975</v>
      </c>
      <c r="C90" s="10">
        <v>2.1996843139331972</v>
      </c>
      <c r="E90" s="10">
        <v>3.8694833741435302</v>
      </c>
      <c r="F90" s="10">
        <v>-5.7376460218528305</v>
      </c>
      <c r="G90" s="10">
        <v>1.5425168006754233</v>
      </c>
      <c r="H90" s="10">
        <v>-4.2436830667993455</v>
      </c>
      <c r="I90" s="10">
        <v>2.4504143982547353</v>
      </c>
      <c r="J90" s="10">
        <v>-2.4504143982547353</v>
      </c>
      <c r="K90" s="10">
        <v>-0.48174476689846285</v>
      </c>
      <c r="L90" s="10">
        <v>0.1</v>
      </c>
      <c r="M90" s="10">
        <v>-0.57376460218528302</v>
      </c>
    </row>
    <row r="91" spans="2:13">
      <c r="B91" s="10">
        <v>5.2999999999999972</v>
      </c>
      <c r="C91" s="10">
        <v>1.7705704587885858</v>
      </c>
      <c r="E91" s="10">
        <v>5.2432854855056483</v>
      </c>
      <c r="F91" s="10">
        <v>-2.003442171335803</v>
      </c>
      <c r="G91" s="10">
        <v>1.0607720337769604</v>
      </c>
      <c r="H91" s="10">
        <v>-4.8174476689846282</v>
      </c>
      <c r="I91" s="10">
        <v>2.3282590251119468</v>
      </c>
      <c r="J91" s="10">
        <v>-2.3282590251119468</v>
      </c>
      <c r="K91" s="10">
        <v>-0.50177918861182091</v>
      </c>
      <c r="L91" s="10">
        <v>0.1</v>
      </c>
      <c r="M91" s="10">
        <v>-0.2003442171335803</v>
      </c>
    </row>
    <row r="92" spans="2:13">
      <c r="B92" s="10">
        <v>5.3999999999999968</v>
      </c>
      <c r="C92" s="10">
        <v>1.2738123305294939</v>
      </c>
      <c r="E92" s="10">
        <v>6.1699540556453023</v>
      </c>
      <c r="F92" s="10">
        <v>1.4797460223904686</v>
      </c>
      <c r="G92" s="10">
        <v>0.55899284516513947</v>
      </c>
      <c r="H92" s="10">
        <v>-5.0177918861182089</v>
      </c>
      <c r="I92" s="10">
        <v>2.2121932077595101</v>
      </c>
      <c r="J92" s="10">
        <v>-2.2121932077595101</v>
      </c>
      <c r="K92" s="10">
        <v>-0.48698172838791626</v>
      </c>
      <c r="L92" s="10">
        <v>0.1</v>
      </c>
      <c r="M92" s="10">
        <v>0.14797460223904688</v>
      </c>
    </row>
    <row r="93" spans="2:13">
      <c r="B93" s="10">
        <v>5.4999999999999964</v>
      </c>
      <c r="C93" s="10">
        <v>0.74666891431642024</v>
      </c>
      <c r="E93" s="10">
        <v>6.6316164718593962</v>
      </c>
      <c r="F93" s="10">
        <v>4.5100223198106786</v>
      </c>
      <c r="G93" s="10">
        <v>7.2011116777223216E-2</v>
      </c>
      <c r="H93" s="10">
        <v>-4.8698172838791622</v>
      </c>
      <c r="I93" s="10">
        <v>2.1019133763357818</v>
      </c>
      <c r="J93" s="10">
        <v>-2.1019133763357818</v>
      </c>
      <c r="K93" s="10">
        <v>-0.44188150518980945</v>
      </c>
      <c r="L93" s="10">
        <v>0.1</v>
      </c>
      <c r="M93" s="10">
        <v>0.45100223198106787</v>
      </c>
    </row>
    <row r="94" spans="2:13">
      <c r="B94" s="10">
        <v>5.5999999999999961</v>
      </c>
      <c r="C94" s="10">
        <v>0.22465378186522555</v>
      </c>
      <c r="E94" s="10">
        <v>6.640839858009028</v>
      </c>
      <c r="F94" s="10">
        <v>6.9357292043428567</v>
      </c>
      <c r="G94" s="10">
        <v>-0.36987038841258624</v>
      </c>
      <c r="H94" s="10">
        <v>-4.4188150518980942</v>
      </c>
      <c r="I94" s="10">
        <v>1.9971310942111788</v>
      </c>
      <c r="J94" s="10">
        <v>-1.9971310942111788</v>
      </c>
      <c r="K94" s="10">
        <v>-0.37252421314638084</v>
      </c>
      <c r="L94" s="10">
        <v>0.1</v>
      </c>
      <c r="M94" s="10">
        <v>0.69357292043428576</v>
      </c>
    </row>
    <row r="95" spans="2:13">
      <c r="B95" s="10">
        <v>5.6999999999999957</v>
      </c>
      <c r="C95" s="10">
        <v>-0.26048876149369582</v>
      </c>
      <c r="E95" s="10">
        <v>6.2371532420527389</v>
      </c>
      <c r="F95" s="10">
        <v>8.6602181222126315</v>
      </c>
      <c r="G95" s="10">
        <v>-0.74239460155896708</v>
      </c>
      <c r="H95" s="10">
        <v>-3.7252421314638084</v>
      </c>
      <c r="I95" s="10">
        <v>1.8975723035828718</v>
      </c>
      <c r="J95" s="10">
        <v>-1.8975723035828718</v>
      </c>
      <c r="K95" s="10">
        <v>-0.28592203192425453</v>
      </c>
      <c r="L95" s="10">
        <v>0.1</v>
      </c>
      <c r="M95" s="10">
        <v>0.86602181222126318</v>
      </c>
    </row>
    <row r="96" spans="2:13">
      <c r="B96" s="10">
        <v>5.7999999999999954</v>
      </c>
      <c r="C96" s="10">
        <v>-0.68237796442305021</v>
      </c>
      <c r="E96" s="10">
        <v>5.482204875600317</v>
      </c>
      <c r="F96" s="10">
        <v>9.6425379379823788</v>
      </c>
      <c r="G96" s="10">
        <v>-1.0283166334832217</v>
      </c>
      <c r="H96" s="10">
        <v>-2.8592203192425454</v>
      </c>
      <c r="I96" s="10">
        <v>1.8029766086772738</v>
      </c>
      <c r="J96" s="10">
        <v>-1.8029766086772738</v>
      </c>
      <c r="K96" s="10">
        <v>-0.18949665254443074</v>
      </c>
      <c r="L96" s="10">
        <v>0.1</v>
      </c>
      <c r="M96" s="10">
        <v>0.96425379379823795</v>
      </c>
    </row>
    <row r="97" spans="2:13">
      <c r="B97" s="10">
        <v>5.899999999999995</v>
      </c>
      <c r="C97" s="10">
        <v>-1.0211046397826422</v>
      </c>
      <c r="E97" s="10">
        <v>4.4539761861349447</v>
      </c>
      <c r="F97" s="10">
        <v>9.8944140818577964</v>
      </c>
      <c r="G97" s="10">
        <v>-1.2178132860276525</v>
      </c>
      <c r="H97" s="10">
        <v>-1.8949665254443073</v>
      </c>
      <c r="I97" s="10">
        <v>1.7130965946855357</v>
      </c>
      <c r="J97" s="10">
        <v>-1.7130965946855357</v>
      </c>
      <c r="K97" s="10">
        <v>-9.0552511725852769E-2</v>
      </c>
      <c r="L97" s="10">
        <v>0.1</v>
      </c>
      <c r="M97" s="10">
        <v>0.98944140818577964</v>
      </c>
    </row>
    <row r="98" spans="2:13">
      <c r="B98" s="10">
        <v>5.9999999999999947</v>
      </c>
      <c r="C98" s="10">
        <v>-1.2638317341977889</v>
      </c>
      <c r="E98" s="10">
        <v>3.240495025106318</v>
      </c>
      <c r="F98" s="10">
        <v>9.4740951122160926</v>
      </c>
      <c r="G98" s="10">
        <v>-1.3083657977535053</v>
      </c>
      <c r="H98" s="10">
        <v>-0.90552511725852769</v>
      </c>
      <c r="I98" s="10">
        <v>1.6276971806507108</v>
      </c>
      <c r="J98" s="10">
        <v>-1.6276971806507108</v>
      </c>
      <c r="K98" s="10">
        <v>4.1884393963081638E-3</v>
      </c>
      <c r="L98" s="10">
        <v>0.1</v>
      </c>
      <c r="M98" s="10">
        <v>0.94740951122160932</v>
      </c>
    </row>
    <row r="99" spans="2:13">
      <c r="B99" s="10">
        <v>6.0999999999999943</v>
      </c>
      <c r="C99" s="10">
        <v>-1.4048996938294811</v>
      </c>
      <c r="E99" s="10">
        <v>1.9334827110187895</v>
      </c>
      <c r="F99" s="10">
        <v>8.4777890959259921</v>
      </c>
      <c r="G99" s="10">
        <v>-1.3041773583571972</v>
      </c>
      <c r="H99" s="10">
        <v>4.1884393963081634E-2</v>
      </c>
      <c r="I99" s="10">
        <v>1.5465550046140906</v>
      </c>
      <c r="J99" s="10">
        <v>-1.5465550046140906</v>
      </c>
      <c r="K99" s="10">
        <v>8.8966330355568099E-2</v>
      </c>
      <c r="L99" s="10">
        <v>0.1</v>
      </c>
      <c r="M99" s="10">
        <v>0.84777890959259927</v>
      </c>
    </row>
    <row r="100" spans="2:13">
      <c r="B100" s="10">
        <v>6.199999999999994</v>
      </c>
      <c r="C100" s="10">
        <v>-1.4454782603861553</v>
      </c>
      <c r="E100" s="10">
        <v>0.62233496364529262</v>
      </c>
      <c r="F100" s="10">
        <v>7.0294957921862737</v>
      </c>
      <c r="G100" s="10">
        <v>-1.2152110280016291</v>
      </c>
      <c r="H100" s="10">
        <v>0.88966330355568091</v>
      </c>
      <c r="I100" s="10">
        <v>1.4694578394125488</v>
      </c>
      <c r="J100" s="10">
        <v>-1.4694578394125488</v>
      </c>
      <c r="K100" s="10">
        <v>0.15926128827743083</v>
      </c>
      <c r="L100" s="10">
        <v>0.1</v>
      </c>
      <c r="M100" s="10">
        <v>0.70294957921862744</v>
      </c>
    </row>
    <row r="101" spans="2:13">
      <c r="B101" s="10">
        <v>6.2999999999999936</v>
      </c>
      <c r="C101" s="10">
        <v>-1.3928302991467536</v>
      </c>
      <c r="E101" s="10">
        <v>0.61121935590375254</v>
      </c>
      <c r="F101" s="10">
        <v>5.2700630027546742</v>
      </c>
      <c r="G101" s="10">
        <v>-1.0559497397241981</v>
      </c>
      <c r="H101" s="10">
        <v>1.5926128827743082</v>
      </c>
      <c r="I101" s="10">
        <v>1.3962040375989111</v>
      </c>
      <c r="J101" s="10">
        <v>-1.3962040375989111</v>
      </c>
      <c r="K101" s="10">
        <v>0.21196191830497757</v>
      </c>
      <c r="L101" s="10">
        <v>0.1</v>
      </c>
      <c r="M101" s="10">
        <v>0.52700630027546747</v>
      </c>
    </row>
    <row r="102" spans="2:13">
      <c r="B102" s="10">
        <v>6.3999999999999932</v>
      </c>
      <c r="C102" s="10">
        <v>-1.2592708464628146</v>
      </c>
      <c r="E102" s="10">
        <v>1.6975103277378132</v>
      </c>
      <c r="F102" s="10">
        <v>3.3462614203046686</v>
      </c>
      <c r="G102" s="10">
        <v>-0.84398782141922057</v>
      </c>
      <c r="H102" s="10">
        <v>2.1196191830497755</v>
      </c>
      <c r="I102" s="10">
        <v>1.3266020040335522</v>
      </c>
      <c r="J102" s="10">
        <v>-1.3266020040335522</v>
      </c>
      <c r="K102" s="10">
        <v>0.24542453250802426</v>
      </c>
      <c r="L102" s="10">
        <v>0.1</v>
      </c>
      <c r="M102" s="10">
        <v>0.33462614203046687</v>
      </c>
    </row>
    <row r="103" spans="2:13">
      <c r="B103" s="10">
        <v>6.4999999999999929</v>
      </c>
      <c r="C103" s="10">
        <v>-1.0609153021131839</v>
      </c>
      <c r="E103" s="10">
        <v>2.5821814600461663</v>
      </c>
      <c r="F103" s="10">
        <v>1.4005898596301742</v>
      </c>
      <c r="G103" s="10">
        <v>-0.59856328891119626</v>
      </c>
      <c r="H103" s="10">
        <v>2.4542453250802425</v>
      </c>
      <c r="I103" s="10">
        <v>1.2604696947677774</v>
      </c>
      <c r="J103" s="10">
        <v>-1.2604696947677774</v>
      </c>
      <c r="K103" s="10">
        <v>0.25943043110432601</v>
      </c>
      <c r="L103" s="10">
        <v>0.1</v>
      </c>
      <c r="M103" s="10">
        <v>0.14005898596301744</v>
      </c>
    </row>
    <row r="104" spans="2:13">
      <c r="B104" s="10">
        <v>6.5999999999999925</v>
      </c>
      <c r="C104" s="10">
        <v>-0.81631458447919214</v>
      </c>
      <c r="E104" s="10">
        <v>3.2282054548392023</v>
      </c>
      <c r="F104" s="10">
        <v>-0.43759776831966013</v>
      </c>
      <c r="G104" s="10">
        <v>-0.33913285780687025</v>
      </c>
      <c r="H104" s="10">
        <v>2.5943043110432598</v>
      </c>
      <c r="I104" s="10">
        <v>1.197634140908316</v>
      </c>
      <c r="J104" s="10">
        <v>-1.197634140908316</v>
      </c>
      <c r="K104" s="10">
        <v>0.25505445342112937</v>
      </c>
      <c r="L104" s="10">
        <v>0.1</v>
      </c>
      <c r="M104" s="10">
        <v>-4.3759776831966017E-2</v>
      </c>
    </row>
    <row r="105" spans="2:13">
      <c r="B105" s="10">
        <v>6.6999999999999922</v>
      </c>
      <c r="C105" s="10">
        <v>-0.54507253883888551</v>
      </c>
      <c r="E105" s="10">
        <v>3.6166459582176755</v>
      </c>
      <c r="F105" s="10">
        <v>-2.059199213456528</v>
      </c>
      <c r="G105" s="10">
        <v>-8.4078404385740879E-2</v>
      </c>
      <c r="H105" s="10">
        <v>2.5505445342112938</v>
      </c>
      <c r="I105" s="10">
        <v>1.1379309962176067</v>
      </c>
      <c r="J105" s="10">
        <v>-1.1379309962176067</v>
      </c>
      <c r="K105" s="10">
        <v>0.23446246128656412</v>
      </c>
      <c r="L105" s="10">
        <v>0.1</v>
      </c>
      <c r="M105" s="10">
        <v>-0.20591992134565282</v>
      </c>
    </row>
    <row r="106" spans="2:13">
      <c r="B106" s="10">
        <v>6.7999999999999918</v>
      </c>
      <c r="C106" s="10">
        <v>-0.26653272142729173</v>
      </c>
      <c r="E106" s="10">
        <v>3.7462291734329933</v>
      </c>
      <c r="F106" s="10">
        <v>-3.3804207076373598</v>
      </c>
      <c r="G106" s="10">
        <v>0.15038405690082324</v>
      </c>
      <c r="H106" s="10">
        <v>2.3446246128656409</v>
      </c>
      <c r="I106" s="10">
        <v>1.0812041072666152</v>
      </c>
      <c r="J106" s="10">
        <v>-1.0812041072666152</v>
      </c>
      <c r="K106" s="10">
        <v>0.20065825421019051</v>
      </c>
      <c r="L106" s="10">
        <v>0.1</v>
      </c>
      <c r="M106" s="10">
        <v>-0.33804207076373599</v>
      </c>
    </row>
    <row r="107" spans="2:13">
      <c r="B107" s="10">
        <v>6.8999999999999915</v>
      </c>
      <c r="C107" s="10">
        <v>1.3910729394668894E-3</v>
      </c>
      <c r="E107" s="10">
        <v>3.6318574063310396</v>
      </c>
      <c r="F107" s="10">
        <v>-4.3456631233779959</v>
      </c>
      <c r="G107" s="10">
        <v>0.35104231111101375</v>
      </c>
      <c r="H107" s="10">
        <v>2.006582542101905</v>
      </c>
      <c r="I107" s="10">
        <v>1.0273051050159194</v>
      </c>
      <c r="J107" s="10">
        <v>-1.0273051050159194</v>
      </c>
      <c r="K107" s="10">
        <v>0.15720162297641055</v>
      </c>
      <c r="L107" s="10">
        <v>0.1</v>
      </c>
      <c r="M107" s="10">
        <v>-0.43456631233779963</v>
      </c>
    </row>
    <row r="108" spans="2:13">
      <c r="B108" s="10">
        <v>6.9999999999999911</v>
      </c>
      <c r="C108" s="10">
        <v>0.24318228015514623</v>
      </c>
      <c r="E108" s="10">
        <v>3.3022505645636997</v>
      </c>
      <c r="F108" s="10">
        <v>-4.9282709073874926</v>
      </c>
      <c r="G108" s="10">
        <v>0.5082439340874243</v>
      </c>
      <c r="H108" s="10">
        <v>1.5720162297641054</v>
      </c>
      <c r="I108" s="10">
        <v>0.97609301675685134</v>
      </c>
      <c r="J108" s="10">
        <v>-0.97609301675685134</v>
      </c>
      <c r="K108" s="10">
        <v>0.10791891390253561</v>
      </c>
      <c r="L108" s="10">
        <v>0.1</v>
      </c>
      <c r="M108" s="10">
        <v>-0.49282709073874931</v>
      </c>
    </row>
    <row r="109" spans="2:13">
      <c r="B109" s="10">
        <v>7.0999999999999908</v>
      </c>
      <c r="C109" s="10">
        <v>0.44644691425749267</v>
      </c>
      <c r="E109" s="10">
        <v>2.7969392583714283</v>
      </c>
      <c r="F109" s="10">
        <v>-5.129313438446701</v>
      </c>
      <c r="G109" s="10">
        <v>0.61616284798995991</v>
      </c>
      <c r="H109" s="10">
        <v>1.0791891390253561</v>
      </c>
      <c r="I109" s="10">
        <v>0.92743389739772297</v>
      </c>
      <c r="J109" s="10">
        <v>-0.92743389739772297</v>
      </c>
      <c r="K109" s="10">
        <v>5.6625779518068603E-2</v>
      </c>
      <c r="L109" s="10">
        <v>0.1</v>
      </c>
      <c r="M109" s="10">
        <v>-0.5129313438446701</v>
      </c>
    </row>
    <row r="110" spans="2:13">
      <c r="B110" s="10">
        <v>7.1999999999999904</v>
      </c>
      <c r="C110" s="10">
        <v>0.60237552938059413</v>
      </c>
      <c r="E110" s="10">
        <v>2.1628535638852893</v>
      </c>
      <c r="F110" s="10">
        <v>-4.9746796569114888</v>
      </c>
      <c r="G110" s="10">
        <v>0.67278862750802848</v>
      </c>
      <c r="H110" s="10">
        <v>0.56625779518068597</v>
      </c>
      <c r="I110" s="10">
        <v>0.88120047913076405</v>
      </c>
      <c r="J110" s="10">
        <v>-0.88120047913076405</v>
      </c>
      <c r="K110" s="10">
        <v>6.8789829489537052E-3</v>
      </c>
      <c r="L110" s="10">
        <v>0.1</v>
      </c>
      <c r="M110" s="10">
        <v>-0.49746796569114893</v>
      </c>
    </row>
    <row r="111" spans="2:13">
      <c r="B111" s="10">
        <v>7.2999999999999901</v>
      </c>
      <c r="C111" s="10">
        <v>0.70593886808476902</v>
      </c>
      <c r="E111" s="10">
        <v>1.4507549687231176</v>
      </c>
      <c r="F111" s="10">
        <v>-4.5108482896908253</v>
      </c>
      <c r="G111" s="10">
        <v>0.67966761045698221</v>
      </c>
      <c r="H111" s="10">
        <v>6.8789829489537047E-2</v>
      </c>
      <c r="I111" s="10">
        <v>0.83727183856348297</v>
      </c>
      <c r="J111" s="10">
        <v>-0.83727183856348297</v>
      </c>
      <c r="K111" s="10">
        <v>-3.8229499947954548E-2</v>
      </c>
      <c r="L111" s="10">
        <v>0.1</v>
      </c>
      <c r="M111" s="10">
        <v>-0.45108482896908253</v>
      </c>
    </row>
    <row r="112" spans="2:13">
      <c r="B112" s="10">
        <v>7.3999999999999897</v>
      </c>
      <c r="C112" s="10">
        <v>0.75583100175201678</v>
      </c>
      <c r="E112" s="10">
        <v>0.71174681225183001</v>
      </c>
      <c r="F112" s="10">
        <v>-3.7997454664639916</v>
      </c>
      <c r="G112" s="10">
        <v>0.64143811050902766</v>
      </c>
      <c r="H112" s="10">
        <v>-0.38229499947954548</v>
      </c>
      <c r="I112" s="10">
        <v>0.79553308044382898</v>
      </c>
      <c r="J112" s="10">
        <v>-0.79553308044382898</v>
      </c>
      <c r="K112" s="10">
        <v>-7.6226954612594475E-2</v>
      </c>
      <c r="L112" s="10">
        <v>0.1</v>
      </c>
      <c r="M112" s="10">
        <v>-0.37997454664639918</v>
      </c>
    </row>
    <row r="113" spans="2:13">
      <c r="B113" s="10">
        <v>7.4999999999999893</v>
      </c>
      <c r="C113" s="10">
        <v>0.75418802303237376</v>
      </c>
      <c r="E113" s="10">
        <v>5.9271946652304152E-3</v>
      </c>
      <c r="F113" s="10">
        <v>-2.9131190311975876</v>
      </c>
      <c r="G113" s="10">
        <v>0.56521115589643323</v>
      </c>
      <c r="H113" s="10">
        <v>-0.76226954612594466</v>
      </c>
      <c r="I113" s="10">
        <v>0.75587503715194249</v>
      </c>
      <c r="J113" s="10">
        <v>-0.75587503715194249</v>
      </c>
      <c r="K113" s="10">
        <v>-0.10535814492457035</v>
      </c>
      <c r="L113" s="10">
        <v>0.1</v>
      </c>
      <c r="M113" s="10">
        <v>-0.2913119031197588</v>
      </c>
    </row>
    <row r="114" spans="2:13">
      <c r="B114" s="10">
        <v>7.599999999999989</v>
      </c>
      <c r="C114" s="10">
        <v>0.70612148571103928</v>
      </c>
      <c r="E114" s="10">
        <v>0.65962323847434357</v>
      </c>
      <c r="F114" s="10">
        <v>-1.9268465228330656</v>
      </c>
      <c r="G114" s="10">
        <v>0.45985301097186287</v>
      </c>
      <c r="H114" s="10">
        <v>-1.0535814492457034</v>
      </c>
      <c r="I114" s="10">
        <v>0.71819398317251015</v>
      </c>
      <c r="J114" s="10">
        <v>-0.71819398317251015</v>
      </c>
      <c r="K114" s="10">
        <v>-0.124626610152901</v>
      </c>
      <c r="L114" s="10">
        <v>0.1</v>
      </c>
      <c r="M114" s="10">
        <v>-0.19268465228330656</v>
      </c>
    </row>
    <row r="115" spans="2:13">
      <c r="B115" s="10">
        <v>7.6999999999999886</v>
      </c>
      <c r="C115" s="10">
        <v>0.61911341925869778</v>
      </c>
      <c r="E115" s="10">
        <v>1.2144472938071953</v>
      </c>
      <c r="F115" s="10">
        <v>-0.91555548757466987</v>
      </c>
      <c r="G115" s="10">
        <v>0.33522640081896188</v>
      </c>
      <c r="H115" s="10">
        <v>-1.24626610152901</v>
      </c>
      <c r="I115" s="10">
        <v>0.68239136380093379</v>
      </c>
      <c r="J115" s="10">
        <v>-0.68239136380093379</v>
      </c>
      <c r="K115" s="10">
        <v>-0.1337821650286477</v>
      </c>
      <c r="L115" s="10">
        <v>0.1</v>
      </c>
      <c r="M115" s="10">
        <v>-9.1555548757466992E-2</v>
      </c>
    </row>
    <row r="116" spans="2:13">
      <c r="B116" s="10">
        <v>7.7999999999999883</v>
      </c>
      <c r="C116" s="10">
        <v>0.50232374293333237</v>
      </c>
      <c r="E116" s="10">
        <v>1.6447335539356511</v>
      </c>
      <c r="F116" s="10">
        <v>5.212434729626847E-2</v>
      </c>
      <c r="G116" s="10">
        <v>0.20144423579031417</v>
      </c>
      <c r="H116" s="10">
        <v>-1.337821650286477</v>
      </c>
      <c r="I116" s="10">
        <v>0.64837353737374259</v>
      </c>
      <c r="J116" s="10">
        <v>-0.64837353737374259</v>
      </c>
      <c r="K116" s="10">
        <v>-0.13326092155568503</v>
      </c>
      <c r="L116" s="10">
        <v>0.1</v>
      </c>
      <c r="M116" s="10">
        <v>5.212434729626847E-3</v>
      </c>
    </row>
    <row r="117" spans="2:13">
      <c r="B117" s="10">
        <v>7.8999999999999879</v>
      </c>
      <c r="C117" s="10">
        <v>0.36586137401770336</v>
      </c>
      <c r="E117" s="10">
        <v>1.9348191719434338</v>
      </c>
      <c r="F117" s="10">
        <v>0.91743146897144401</v>
      </c>
      <c r="G117" s="10">
        <v>6.8183314234629144E-2</v>
      </c>
      <c r="H117" s="10">
        <v>-1.3326092155568503</v>
      </c>
      <c r="I117" s="10">
        <v>0.61605153034904903</v>
      </c>
      <c r="J117" s="10">
        <v>-0.61605153034904903</v>
      </c>
      <c r="K117" s="10">
        <v>-0.1240866068659706</v>
      </c>
      <c r="L117" s="10">
        <v>0.1</v>
      </c>
      <c r="M117" s="10">
        <v>9.1743146897144412E-2</v>
      </c>
    </row>
    <row r="118" spans="2:13">
      <c r="B118" s="10">
        <v>7.9999999999999876</v>
      </c>
      <c r="C118" s="10">
        <v>0.22006758055985376</v>
      </c>
      <c r="E118" s="10">
        <v>2.0791296072523591</v>
      </c>
      <c r="F118" s="10">
        <v>1.6343024154115846</v>
      </c>
      <c r="G118" s="10">
        <v>-5.5903292631341459E-2</v>
      </c>
      <c r="H118" s="10">
        <v>-1.2408660686597059</v>
      </c>
      <c r="I118" s="10">
        <v>0.58534080459646898</v>
      </c>
      <c r="J118" s="10">
        <v>-0.58534080459646898</v>
      </c>
      <c r="K118" s="10">
        <v>-0.10774358271185475</v>
      </c>
      <c r="L118" s="10">
        <v>0.1</v>
      </c>
      <c r="M118" s="10">
        <v>0.16343024154115848</v>
      </c>
    </row>
    <row r="119" spans="2:13">
      <c r="B119" s="10">
        <v>8.0999999999999872</v>
      </c>
      <c r="C119" s="10">
        <v>7.485465278196822E-2</v>
      </c>
      <c r="E119" s="10">
        <v>2.0816303850343036</v>
      </c>
      <c r="F119" s="10">
        <v>2.1710825905831541</v>
      </c>
      <c r="G119" s="10">
        <v>-0.16364687534319622</v>
      </c>
      <c r="H119" s="10">
        <v>-1.0774358271185474</v>
      </c>
      <c r="I119" s="10">
        <v>0.55616103628784819</v>
      </c>
      <c r="J119" s="10">
        <v>-0.55616103628784819</v>
      </c>
      <c r="K119" s="10">
        <v>-8.6032756806023195E-2</v>
      </c>
      <c r="L119" s="10">
        <v>0.1</v>
      </c>
      <c r="M119" s="10">
        <v>0.21710825905831543</v>
      </c>
    </row>
    <row r="120" spans="2:13">
      <c r="B120" s="10">
        <v>8.1999999999999869</v>
      </c>
      <c r="C120" s="10">
        <v>-6.0864637025706617E-2</v>
      </c>
      <c r="E120" s="10">
        <v>1.9547354463977336</v>
      </c>
      <c r="F120" s="10">
        <v>2.5111207307092283</v>
      </c>
      <c r="G120" s="10">
        <v>-0.2496796321492194</v>
      </c>
      <c r="H120" s="10">
        <v>-0.86032756806023192</v>
      </c>
      <c r="I120" s="10">
        <v>0.52843590581048483</v>
      </c>
      <c r="J120" s="10">
        <v>-0.52843590581048483</v>
      </c>
      <c r="K120" s="10">
        <v>-6.0921549498930916E-2</v>
      </c>
      <c r="L120" s="10">
        <v>0.1</v>
      </c>
      <c r="M120" s="10">
        <v>0.25111207307092281</v>
      </c>
    </row>
    <row r="121" spans="2:13">
      <c r="B121" s="10">
        <v>8.2999999999999865</v>
      </c>
      <c r="C121" s="10">
        <v>-0.179630372221917</v>
      </c>
      <c r="E121" s="10">
        <v>1.7177879952959862</v>
      </c>
      <c r="F121" s="10">
        <v>2.6523223551281943</v>
      </c>
      <c r="G121" s="10">
        <v>-0.31060118164815032</v>
      </c>
      <c r="H121" s="10">
        <v>-0.60921549498930916</v>
      </c>
      <c r="I121" s="10">
        <v>0.50209289815337066</v>
      </c>
      <c r="J121" s="10">
        <v>-0.50209289815337066</v>
      </c>
      <c r="K121" s="10">
        <v>-3.4398325947648974E-2</v>
      </c>
      <c r="L121" s="10">
        <v>0.1</v>
      </c>
      <c r="M121" s="10">
        <v>0.26523223551281944</v>
      </c>
    </row>
    <row r="122" spans="2:13">
      <c r="B122" s="10">
        <v>8.3999999999999861</v>
      </c>
      <c r="C122" s="10">
        <v>-0.27575502025017423</v>
      </c>
      <c r="E122" s="10">
        <v>1.3952460033287639</v>
      </c>
      <c r="F122" s="10">
        <v>2.6057978437874505</v>
      </c>
      <c r="G122" s="10">
        <v>-0.34499950759579928</v>
      </c>
      <c r="H122" s="10">
        <v>-0.34398325947648972</v>
      </c>
      <c r="I122" s="10">
        <v>0.47706311324435569</v>
      </c>
      <c r="J122" s="10">
        <v>-0.47706311324435569</v>
      </c>
      <c r="K122" s="10">
        <v>-8.3403475097744654E-3</v>
      </c>
      <c r="L122" s="10">
        <v>0.1</v>
      </c>
      <c r="M122" s="10">
        <v>0.26057978437874507</v>
      </c>
    </row>
    <row r="123" spans="2:13">
      <c r="B123" s="10">
        <v>8.4999999999999858</v>
      </c>
      <c r="C123" s="10">
        <v>-0.34550242425107225</v>
      </c>
      <c r="E123" s="10">
        <v>1.0147111469051497</v>
      </c>
      <c r="F123" s="10">
        <v>2.3937860619791085</v>
      </c>
      <c r="G123" s="10">
        <v>-0.35333985510557375</v>
      </c>
      <c r="H123" s="10">
        <v>-8.340347509774465E-2</v>
      </c>
      <c r="I123" s="10">
        <v>0.45328108574217824</v>
      </c>
      <c r="J123" s="10">
        <v>-0.45328108574217824</v>
      </c>
      <c r="K123" s="10">
        <v>1.5597513110016621E-2</v>
      </c>
      <c r="L123" s="10">
        <v>0.1</v>
      </c>
      <c r="M123" s="10">
        <v>0.23937860619791085</v>
      </c>
    </row>
    <row r="124" spans="2:13">
      <c r="B124" s="10">
        <v>8.5999999999999854</v>
      </c>
      <c r="C124" s="10">
        <v>-0.38712886475561453</v>
      </c>
      <c r="E124" s="10">
        <v>0.60493736682278187</v>
      </c>
      <c r="F124" s="10">
        <v>2.0470632805942888</v>
      </c>
      <c r="G124" s="10">
        <v>-0.33774234199555714</v>
      </c>
      <c r="H124" s="10">
        <v>0.1559751311001662</v>
      </c>
      <c r="I124" s="10">
        <v>0.43068461381202588</v>
      </c>
      <c r="J124" s="10">
        <v>-0.43068461381202588</v>
      </c>
      <c r="K124" s="10">
        <v>3.6068145915959512E-2</v>
      </c>
      <c r="L124" s="10">
        <v>0.1</v>
      </c>
      <c r="M124" s="10">
        <v>0.2047063280594289</v>
      </c>
    </row>
    <row r="125" spans="2:13">
      <c r="B125" s="10">
        <v>8.6999999999999851</v>
      </c>
      <c r="C125" s="10">
        <v>-0.40079706432816137</v>
      </c>
      <c r="E125" s="10">
        <v>0.193944433795643</v>
      </c>
      <c r="F125" s="10">
        <v>1.6020593160037853</v>
      </c>
      <c r="G125" s="10">
        <v>-0.30167419607959761</v>
      </c>
      <c r="H125" s="10">
        <v>0.3606814591595951</v>
      </c>
      <c r="I125" s="10">
        <v>0.40921459643678654</v>
      </c>
      <c r="J125" s="10">
        <v>-0.40921459643678654</v>
      </c>
      <c r="K125" s="10">
        <v>5.2088739075997363E-2</v>
      </c>
      <c r="L125" s="10">
        <v>0.1</v>
      </c>
      <c r="M125" s="10">
        <v>0.16020593160037855</v>
      </c>
    </row>
    <row r="126" spans="2:13">
      <c r="B126" s="10">
        <v>8.7999999999999847</v>
      </c>
      <c r="C126" s="10">
        <v>-0.3883807988269008</v>
      </c>
      <c r="E126" s="10">
        <v>0.1926557258206841</v>
      </c>
      <c r="F126" s="10">
        <v>1.0978992452068821</v>
      </c>
      <c r="G126" s="10">
        <v>-0.24958545700360024</v>
      </c>
      <c r="H126" s="10">
        <v>0.52088739075997359</v>
      </c>
      <c r="I126" s="10">
        <v>0.38881487883848381</v>
      </c>
      <c r="J126" s="10">
        <v>-0.38881487883848381</v>
      </c>
      <c r="K126" s="10">
        <v>6.306773152806619E-2</v>
      </c>
      <c r="L126" s="10">
        <v>0.1</v>
      </c>
      <c r="M126" s="10">
        <v>0.10978992452068821</v>
      </c>
    </row>
    <row r="127" spans="2:13">
      <c r="B127" s="10">
        <v>8.8999999999999844</v>
      </c>
      <c r="C127" s="10">
        <v>-0.35318281855339384</v>
      </c>
      <c r="E127" s="10">
        <v>0.53303494320284195</v>
      </c>
      <c r="F127" s="10">
        <v>0.57357158247887308</v>
      </c>
      <c r="G127" s="10">
        <v>-0.18651772547553405</v>
      </c>
      <c r="H127" s="10">
        <v>0.63067731528066184</v>
      </c>
      <c r="I127" s="10">
        <v>0.36943210560559259</v>
      </c>
      <c r="J127" s="10">
        <v>-0.36943210560559259</v>
      </c>
      <c r="K127" s="10">
        <v>6.8803447352854916E-2</v>
      </c>
      <c r="L127" s="10">
        <v>0.1</v>
      </c>
      <c r="M127" s="10">
        <v>5.7357158247887313E-2</v>
      </c>
    </row>
    <row r="128" spans="2:13">
      <c r="B128" s="10">
        <v>8.999999999999984</v>
      </c>
      <c r="C128" s="10">
        <v>-0.29959192993927619</v>
      </c>
      <c r="E128" s="10">
        <v>0.81016796952889825</v>
      </c>
      <c r="F128" s="10">
        <v>6.5394996413972506E-2</v>
      </c>
      <c r="G128" s="10">
        <v>-0.11771427812267914</v>
      </c>
      <c r="H128" s="10">
        <v>0.68803447352854918</v>
      </c>
      <c r="I128" s="10">
        <v>0.35101558114208997</v>
      </c>
      <c r="J128" s="10">
        <v>-0.35101558114208997</v>
      </c>
      <c r="K128" s="10">
        <v>6.9457397316994643E-2</v>
      </c>
      <c r="L128" s="10">
        <v>0.1</v>
      </c>
      <c r="M128" s="10">
        <v>6.5394996413972511E-3</v>
      </c>
    </row>
    <row r="129" spans="2:13">
      <c r="B129" s="10">
        <v>9.0999999999999837</v>
      </c>
      <c r="C129" s="10">
        <v>-0.23270633312245342</v>
      </c>
      <c r="E129" s="10">
        <v>1.0124632645165863</v>
      </c>
      <c r="F129" s="10">
        <v>-0.39508145735697309</v>
      </c>
      <c r="G129" s="10">
        <v>-4.8256880805684493E-2</v>
      </c>
      <c r="H129" s="10">
        <v>0.6945739731699464</v>
      </c>
      <c r="I129" s="10">
        <v>0.33351713707324798</v>
      </c>
      <c r="J129" s="10">
        <v>-0.33351713707324798</v>
      </c>
      <c r="K129" s="10">
        <v>6.5506582743424913E-2</v>
      </c>
      <c r="L129" s="10">
        <v>0.1</v>
      </c>
      <c r="M129" s="10">
        <v>-3.950814573569731E-2</v>
      </c>
    </row>
    <row r="130" spans="2:13">
      <c r="B130" s="10">
        <v>9.1999999999999833</v>
      </c>
      <c r="C130" s="10">
        <v>-0.15794976088798193</v>
      </c>
      <c r="E130" s="10">
        <v>1.134000690952637</v>
      </c>
      <c r="F130" s="10">
        <v>-0.78265173980856795</v>
      </c>
      <c r="G130" s="10">
        <v>1.7249701937740419E-2</v>
      </c>
      <c r="H130" s="10">
        <v>0.65506582743424913</v>
      </c>
      <c r="I130" s="10">
        <v>0.31689100626136801</v>
      </c>
      <c r="J130" s="10">
        <v>-0.31689100626136801</v>
      </c>
      <c r="K130" s="10">
        <v>5.7680065345339232E-2</v>
      </c>
      <c r="L130" s="10">
        <v>0.1</v>
      </c>
      <c r="M130" s="10">
        <v>-7.8265173980856806E-2</v>
      </c>
    </row>
    <row r="131" spans="2:13">
      <c r="B131" s="10">
        <v>9.2999999999999829</v>
      </c>
      <c r="C131" s="10">
        <v>-8.070482841736587E-2</v>
      </c>
      <c r="E131" s="10">
        <v>1.1743962066568987</v>
      </c>
      <c r="F131" s="10">
        <v>-1.0794509054631503</v>
      </c>
      <c r="G131" s="10">
        <v>7.4929767283079651E-2</v>
      </c>
      <c r="H131" s="10">
        <v>0.57680065345339226</v>
      </c>
      <c r="I131" s="10">
        <v>0.30109370310194256</v>
      </c>
      <c r="J131" s="10">
        <v>-0.30109370310194256</v>
      </c>
      <c r="K131" s="10">
        <v>4.6885556290707731E-2</v>
      </c>
      <c r="L131" s="10">
        <v>0.1</v>
      </c>
      <c r="M131" s="10">
        <v>-0.10794509054631503</v>
      </c>
    </row>
    <row r="132" spans="2:13">
      <c r="B132" s="10">
        <v>9.3999999999999826</v>
      </c>
      <c r="C132" s="10">
        <v>-5.9845672393360923E-3</v>
      </c>
      <c r="E132" s="10">
        <v>1.1383350109481611</v>
      </c>
      <c r="F132" s="10">
        <v>-1.2753714851703764</v>
      </c>
      <c r="G132" s="10">
        <v>0.12181532357378738</v>
      </c>
      <c r="H132" s="10">
        <v>0.46885556290707725</v>
      </c>
      <c r="I132" s="10">
        <v>0.28608390978716369</v>
      </c>
      <c r="J132" s="10">
        <v>-0.28608390978716369</v>
      </c>
      <c r="K132" s="10">
        <v>3.4131841439003961E-2</v>
      </c>
      <c r="L132" s="10">
        <v>0.1</v>
      </c>
      <c r="M132" s="10">
        <v>-0.12753714851703765</v>
      </c>
    </row>
    <row r="133" spans="2:13">
      <c r="B133" s="10">
        <v>9.4999999999999822</v>
      </c>
      <c r="C133" s="10">
        <v>6.1841280679568712E-2</v>
      </c>
      <c r="E133" s="10">
        <v>1.0348315019975503</v>
      </c>
      <c r="F133" s="10">
        <v>-1.3679304624976258</v>
      </c>
      <c r="G133" s="10">
        <v>0.15594716501279135</v>
      </c>
      <c r="H133" s="10">
        <v>0.34131841439003963</v>
      </c>
      <c r="I133" s="10">
        <v>0.27182236823929767</v>
      </c>
      <c r="J133" s="10">
        <v>-0.27182236823929767</v>
      </c>
      <c r="K133" s="10">
        <v>2.0452536814027703E-2</v>
      </c>
      <c r="L133" s="10">
        <v>0.1</v>
      </c>
      <c r="M133" s="10">
        <v>-0.1367930462497626</v>
      </c>
    </row>
    <row r="134" spans="2:13">
      <c r="B134" s="10">
        <v>9.5999999999999819</v>
      </c>
      <c r="C134" s="10">
        <v>0.11925362654672311</v>
      </c>
      <c r="E134" s="10">
        <v>0.87628618166081951</v>
      </c>
      <c r="F134" s="10">
        <v>-1.3616517238968651</v>
      </c>
      <c r="G134" s="10">
        <v>0.17639970182681905</v>
      </c>
      <c r="H134" s="10">
        <v>0.20452536814027703</v>
      </c>
      <c r="I134" s="10">
        <v>0.25827177743127872</v>
      </c>
      <c r="J134" s="10">
        <v>-0.25827177743127872</v>
      </c>
      <c r="K134" s="10">
        <v>6.8360195750590521E-3</v>
      </c>
      <c r="L134" s="10">
        <v>0.1</v>
      </c>
      <c r="M134" s="10">
        <v>-0.13616517238968651</v>
      </c>
    </row>
    <row r="135" spans="2:13">
      <c r="B135" s="10">
        <v>9.6999999999999815</v>
      </c>
      <c r="C135" s="10">
        <v>0.1637186975863911</v>
      </c>
      <c r="E135" s="10">
        <v>0.67741602818701196</v>
      </c>
      <c r="F135" s="10">
        <v>-1.2670538830553744</v>
      </c>
      <c r="G135" s="10">
        <v>0.1832357214018781</v>
      </c>
      <c r="H135" s="10">
        <v>6.8360195750590519E-2</v>
      </c>
      <c r="I135" s="10">
        <v>0.24539669582596324</v>
      </c>
      <c r="J135" s="10">
        <v>-0.24539669582596324</v>
      </c>
      <c r="K135" s="10">
        <v>-5.8345192554946912E-3</v>
      </c>
      <c r="L135" s="10">
        <v>0.1</v>
      </c>
      <c r="M135" s="10">
        <v>-0.12670538830553743</v>
      </c>
    </row>
    <row r="136" spans="2:13">
      <c r="B136" s="10">
        <v>9.7999999999999812</v>
      </c>
      <c r="C136" s="10">
        <v>0.19374874923833488</v>
      </c>
      <c r="E136" s="10">
        <v>0.45413592676844639</v>
      </c>
      <c r="F136" s="10">
        <v>-1.0993499676979035</v>
      </c>
      <c r="G136" s="10">
        <v>0.17740120214638341</v>
      </c>
      <c r="H136" s="10">
        <v>-5.8345192554946912E-2</v>
      </c>
      <c r="I136" s="10">
        <v>0.23316344867887734</v>
      </c>
      <c r="J136" s="10">
        <v>-0.23316344867887734</v>
      </c>
      <c r="K136" s="10">
        <v>-1.6828018932473727E-2</v>
      </c>
      <c r="L136" s="10">
        <v>0.1</v>
      </c>
      <c r="M136" s="10">
        <v>-0.10993499676979035</v>
      </c>
    </row>
    <row r="137" spans="2:13">
      <c r="B137" s="10">
        <v>9.8999999999999808</v>
      </c>
      <c r="C137" s="10">
        <v>0.20889226599113503</v>
      </c>
      <c r="E137" s="10">
        <v>0.22246490787582007</v>
      </c>
      <c r="F137" s="10">
        <v>-0.87697339124875906</v>
      </c>
      <c r="G137" s="10">
        <v>0.16057318321390968</v>
      </c>
      <c r="H137" s="10">
        <v>-0.16828018932473726</v>
      </c>
      <c r="I137" s="10">
        <v>0.2215400399620033</v>
      </c>
      <c r="J137" s="10">
        <v>-0.2215400399620033</v>
      </c>
      <c r="K137" s="10">
        <v>-2.5597752844961321E-2</v>
      </c>
      <c r="L137" s="10">
        <v>0.1</v>
      </c>
      <c r="M137" s="10">
        <v>-8.7697339124875914E-2</v>
      </c>
    </row>
    <row r="138" spans="2:13">
      <c r="B138" s="10">
        <v>9.9999999999999805</v>
      </c>
      <c r="C138" s="10">
        <v>0.20966111098886289</v>
      </c>
      <c r="E138" s="10">
        <v>2.4771328427437636E-3</v>
      </c>
      <c r="F138" s="10">
        <v>-0.6200442788597218</v>
      </c>
      <c r="G138" s="10">
        <v>0.13497543036894835</v>
      </c>
      <c r="H138" s="10">
        <v>-0.25597752844961319</v>
      </c>
      <c r="I138" s="10">
        <v>0.21049606867824758</v>
      </c>
      <c r="J138" s="10">
        <v>-0.21049606867824758</v>
      </c>
      <c r="K138" s="10">
        <v>-3.1798195633558533E-2</v>
      </c>
      <c r="L138" s="10">
        <v>0.1</v>
      </c>
      <c r="M138" s="10">
        <v>-6.2004427885972185E-2</v>
      </c>
    </row>
    <row r="139" spans="2:13">
      <c r="B139" s="10">
        <v>10.09999999999998</v>
      </c>
      <c r="C139" s="10">
        <v>0.19740525373065393</v>
      </c>
      <c r="E139" s="10">
        <v>0.20732799500251445</v>
      </c>
      <c r="F139" s="10">
        <v>-0.3488824479583042</v>
      </c>
      <c r="G139" s="10">
        <v>0.10317723473538981</v>
      </c>
      <c r="H139" s="10">
        <v>-0.31798195633558535</v>
      </c>
      <c r="I139" s="10">
        <v>0.2000026493477069</v>
      </c>
      <c r="J139" s="10">
        <v>-0.2000026493477069</v>
      </c>
      <c r="K139" s="10">
        <v>-3.5287020113141575E-2</v>
      </c>
      <c r="L139" s="10">
        <v>0.1</v>
      </c>
      <c r="M139" s="10">
        <v>-3.4888244795830421E-2</v>
      </c>
    </row>
    <row r="140" spans="2:13">
      <c r="B140" s="10">
        <v>10.19999999999998</v>
      </c>
      <c r="C140" s="10">
        <v>0.17414790973430205</v>
      </c>
      <c r="E140" s="10">
        <v>0.38115656396720066</v>
      </c>
      <c r="F140" s="10">
        <v>-8.2659423768831453E-2</v>
      </c>
      <c r="G140" s="10">
        <v>6.7890214622248229E-2</v>
      </c>
      <c r="H140" s="10">
        <v>-0.35287020113141576</v>
      </c>
      <c r="I140" s="10">
        <v>0.19003233645776621</v>
      </c>
      <c r="J140" s="10">
        <v>-0.19003233645776621</v>
      </c>
      <c r="K140" s="10">
        <v>-3.6113614350829895E-2</v>
      </c>
      <c r="L140" s="10">
        <v>0.1</v>
      </c>
      <c r="M140" s="10">
        <v>-8.2659423768831463E-3</v>
      </c>
    </row>
    <row r="141" spans="2:13">
      <c r="B141" s="10">
        <v>10.299999999999979</v>
      </c>
      <c r="C141" s="10">
        <v>0.14239512356865211</v>
      </c>
      <c r="E141" s="10">
        <v>0.5159256569322842</v>
      </c>
      <c r="F141" s="10">
        <v>0.16173666136022105</v>
      </c>
      <c r="G141" s="10">
        <v>3.1776600271418334E-2</v>
      </c>
      <c r="H141" s="10">
        <v>-0.36113614350829892</v>
      </c>
      <c r="I141" s="10">
        <v>0.1805590526794274</v>
      </c>
      <c r="J141" s="10">
        <v>-0.1805590526794274</v>
      </c>
      <c r="K141" s="10">
        <v>-3.4496247737227682E-2</v>
      </c>
      <c r="L141" s="10">
        <v>0.1</v>
      </c>
      <c r="M141" s="10">
        <v>1.6173666136022107E-2</v>
      </c>
    </row>
    <row r="142" spans="2:13">
      <c r="B142" s="10">
        <v>10.399999999999979</v>
      </c>
      <c r="C142" s="10">
        <v>0.10493404110724631</v>
      </c>
      <c r="E142" s="10">
        <v>0.60673426437354083</v>
      </c>
      <c r="F142" s="10">
        <v>0.37057089711947994</v>
      </c>
      <c r="G142" s="10">
        <v>-2.7196474658093481E-3</v>
      </c>
      <c r="H142" s="10">
        <v>-0.34496247737227681</v>
      </c>
      <c r="I142" s="10">
        <v>0.171558020662119</v>
      </c>
      <c r="J142" s="10">
        <v>-0.171558020662119</v>
      </c>
      <c r="K142" s="10">
        <v>-3.0790538766032882E-2</v>
      </c>
      <c r="L142" s="10">
        <v>0.1</v>
      </c>
      <c r="M142" s="10">
        <v>3.7057089711947995E-2</v>
      </c>
    </row>
    <row r="143" spans="2:13">
      <c r="B143" s="10">
        <v>10.499999999999979</v>
      </c>
      <c r="C143" s="10">
        <v>6.4633430544124168E-2</v>
      </c>
      <c r="E143" s="10">
        <v>0.6518437077646928</v>
      </c>
      <c r="F143" s="10">
        <v>0.53383645409458436</v>
      </c>
      <c r="G143" s="10">
        <v>-3.351018623184223E-2</v>
      </c>
      <c r="H143" s="10">
        <v>-0.30790538766032882</v>
      </c>
      <c r="I143" s="10">
        <v>0.16300569822859695</v>
      </c>
      <c r="J143" s="10">
        <v>-0.16300569822859695</v>
      </c>
      <c r="K143" s="10">
        <v>-2.545217422508704E-2</v>
      </c>
      <c r="L143" s="10">
        <v>0.1</v>
      </c>
      <c r="M143" s="10">
        <v>5.338364540945844E-2</v>
      </c>
    </row>
    <row r="144" spans="2:13">
      <c r="B144" s="10">
        <v>10.599999999999978</v>
      </c>
      <c r="C144" s="10">
        <v>2.4258554601560837E-2</v>
      </c>
      <c r="E144" s="10">
        <v>0.65250524268246235</v>
      </c>
      <c r="F144" s="10">
        <v>0.64552708228729783</v>
      </c>
      <c r="G144" s="10">
        <v>-5.8962360456929271E-2</v>
      </c>
      <c r="H144" s="10">
        <v>-0.25452174225087038</v>
      </c>
      <c r="I144" s="10">
        <v>0.15487971680043644</v>
      </c>
      <c r="J144" s="10">
        <v>-0.15487971680043644</v>
      </c>
      <c r="K144" s="10">
        <v>-1.8996903402214063E-2</v>
      </c>
      <c r="L144" s="10">
        <v>0.1</v>
      </c>
      <c r="M144" s="10">
        <v>6.4552708228729785E-2</v>
      </c>
    </row>
    <row r="145" spans="2:13">
      <c r="B145" s="10">
        <v>10.699999999999978</v>
      </c>
      <c r="C145" s="10">
        <v>-1.3689566616442774E-2</v>
      </c>
      <c r="E145" s="10">
        <v>0.61261740390776953</v>
      </c>
      <c r="F145" s="10">
        <v>0.70362036928116822</v>
      </c>
      <c r="G145" s="10">
        <v>-7.7959263859143341E-2</v>
      </c>
      <c r="H145" s="10">
        <v>-0.1899690340221406</v>
      </c>
      <c r="I145" s="10">
        <v>0.1471588228930705</v>
      </c>
      <c r="J145" s="10">
        <v>-0.1471588228930705</v>
      </c>
      <c r="K145" s="10">
        <v>-1.1960699709402379E-2</v>
      </c>
      <c r="L145" s="10">
        <v>0.1</v>
      </c>
      <c r="M145" s="10">
        <v>7.0362036928116822E-2</v>
      </c>
    </row>
    <row r="146" spans="2:13">
      <c r="B146" s="10">
        <v>10.799999999999978</v>
      </c>
      <c r="C146" s="10">
        <v>-4.710294518969093E-2</v>
      </c>
      <c r="E146" s="10">
        <v>0.53824944633354388</v>
      </c>
      <c r="F146" s="10">
        <v>0.70980243325156855</v>
      </c>
      <c r="G146" s="10">
        <v>-8.9919963568545716E-2</v>
      </c>
      <c r="H146" s="10">
        <v>-0.11960699709402378</v>
      </c>
      <c r="I146" s="10">
        <v>0.13982282252735284</v>
      </c>
      <c r="J146" s="10">
        <v>-0.13982282252735284</v>
      </c>
      <c r="K146" s="10">
        <v>-4.8626753768866923E-3</v>
      </c>
      <c r="L146" s="10">
        <v>0.1</v>
      </c>
      <c r="M146" s="10">
        <v>7.0980243325156858E-2</v>
      </c>
    </row>
    <row r="147" spans="2:13">
      <c r="B147" s="10">
        <v>10.899999999999977</v>
      </c>
      <c r="C147" s="10">
        <v>-7.4358618370168952E-2</v>
      </c>
      <c r="E147" s="10">
        <v>0.43707232264174095</v>
      </c>
      <c r="F147" s="10">
        <v>0.66897848170710561</v>
      </c>
      <c r="G147" s="10">
        <v>-9.4782638945432401E-2</v>
      </c>
      <c r="H147" s="10">
        <v>-4.8626753768866923E-2</v>
      </c>
      <c r="I147" s="10">
        <v>0.1328525284122547</v>
      </c>
      <c r="J147" s="10">
        <v>-0.1328525284122547</v>
      </c>
      <c r="K147" s="10">
        <v>1.8271094401843644E-3</v>
      </c>
      <c r="L147" s="10">
        <v>0.1</v>
      </c>
      <c r="M147" s="10">
        <v>6.6897848170710567E-2</v>
      </c>
    </row>
    <row r="148" spans="2:13">
      <c r="B148" s="10">
        <v>10.999999999999977</v>
      </c>
      <c r="C148" s="10">
        <v>-9.437174018303611E-2</v>
      </c>
      <c r="E148" s="10">
        <v>0.31774070338196853</v>
      </c>
      <c r="F148" s="10">
        <v>0.58862311288694713</v>
      </c>
      <c r="G148" s="10">
        <v>-9.2955529505248033E-2</v>
      </c>
      <c r="H148" s="10">
        <v>1.8271094401843643E-2</v>
      </c>
      <c r="I148" s="10">
        <v>0.12622970976055203</v>
      </c>
      <c r="J148" s="10">
        <v>-0.12622970976055203</v>
      </c>
      <c r="K148" s="10">
        <v>7.713340569053837E-3</v>
      </c>
      <c r="L148" s="10">
        <v>0.1</v>
      </c>
      <c r="M148" s="10">
        <v>5.8862311288694714E-2</v>
      </c>
    </row>
    <row r="149" spans="2:13">
      <c r="B149" s="10">
        <v>11.099999999999977</v>
      </c>
      <c r="C149" s="10">
        <v>-0.10661027424127301</v>
      </c>
      <c r="E149" s="10">
        <v>0.18926872704401046</v>
      </c>
      <c r="F149" s="10">
        <v>0.47802919674508493</v>
      </c>
      <c r="G149" s="10">
        <v>-8.5242188936194202E-2</v>
      </c>
      <c r="H149" s="10">
        <v>7.7133405690538365E-2</v>
      </c>
      <c r="I149" s="10">
        <v>0.11993704460624649</v>
      </c>
      <c r="J149" s="10">
        <v>-0.11993704460624649</v>
      </c>
      <c r="K149" s="10">
        <v>1.2493632536504687E-2</v>
      </c>
      <c r="L149" s="10">
        <v>0.1</v>
      </c>
      <c r="M149" s="10">
        <v>4.7802919674508497E-2</v>
      </c>
    </row>
    <row r="150" spans="2:13">
      <c r="B150" s="10">
        <v>11.199999999999976</v>
      </c>
      <c r="C150" s="10">
        <v>-0.11107411325864115</v>
      </c>
      <c r="E150" s="10">
        <v>6.0438773234801776E-2</v>
      </c>
      <c r="F150" s="10">
        <v>0.34751478117280998</v>
      </c>
      <c r="G150" s="10">
        <v>-7.274855639968951E-2</v>
      </c>
      <c r="H150" s="10">
        <v>0.12493632536504687</v>
      </c>
      <c r="I150" s="10">
        <v>0.11395807449900493</v>
      </c>
      <c r="J150" s="10">
        <v>-0.11395807449900493</v>
      </c>
      <c r="K150" s="10">
        <v>1.5968780348232788E-2</v>
      </c>
      <c r="L150" s="10">
        <v>0.1</v>
      </c>
      <c r="M150" s="10">
        <v>3.4751478117281E-2</v>
      </c>
    </row>
    <row r="151" spans="2:13">
      <c r="B151" s="10">
        <v>11.299999999999976</v>
      </c>
      <c r="C151" s="10">
        <v>-0.1082433732869036</v>
      </c>
      <c r="E151" s="10">
        <v>6.072297985098779E-2</v>
      </c>
      <c r="F151" s="10">
        <v>0.20764413179289409</v>
      </c>
      <c r="G151" s="10">
        <v>-5.6779776051456718E-2</v>
      </c>
      <c r="H151" s="10">
        <v>0.15968780348232786</v>
      </c>
      <c r="I151" s="10">
        <v>0.10827716145712336</v>
      </c>
      <c r="J151" s="10">
        <v>-0.10827716145712336</v>
      </c>
      <c r="K151" s="10">
        <v>1.8045221666161727E-2</v>
      </c>
      <c r="L151" s="10">
        <v>0.1</v>
      </c>
      <c r="M151" s="10">
        <v>2.0764413179289412E-2</v>
      </c>
    </row>
    <row r="152" spans="2:13">
      <c r="B152" s="10">
        <v>11.399999999999975</v>
      </c>
      <c r="C152" s="10">
        <v>-9.9002053074166652E-2</v>
      </c>
      <c r="E152" s="10">
        <v>0.16737758911010917</v>
      </c>
      <c r="F152" s="10">
        <v>6.8512351913333935E-2</v>
      </c>
      <c r="G152" s="10">
        <v>-3.8734554385294995E-2</v>
      </c>
      <c r="H152" s="10">
        <v>0.18045221666161726</v>
      </c>
      <c r="I152" s="10">
        <v>0.10287944706642385</v>
      </c>
      <c r="J152" s="10">
        <v>-0.10287944706642385</v>
      </c>
      <c r="K152" s="10">
        <v>1.8730345185295066E-2</v>
      </c>
      <c r="L152" s="10">
        <v>0.1</v>
      </c>
      <c r="M152" s="10">
        <v>6.8512351913333942E-3</v>
      </c>
    </row>
    <row r="153" spans="2:13">
      <c r="B153" s="10">
        <v>11.499999999999975</v>
      </c>
      <c r="C153" s="10">
        <v>-8.4544168732680391E-2</v>
      </c>
      <c r="E153" s="10">
        <v>0.25419250305633745</v>
      </c>
      <c r="F153" s="10">
        <v>-6.0866181712639383E-2</v>
      </c>
      <c r="G153" s="10">
        <v>-2.0004209199999928E-2</v>
      </c>
      <c r="H153" s="10">
        <v>0.18730345185295066</v>
      </c>
      <c r="I153" s="10">
        <v>9.7750813618108487E-2</v>
      </c>
      <c r="J153" s="10">
        <v>-9.7750813618108487E-2</v>
      </c>
      <c r="K153" s="10">
        <v>1.8121683368168672E-2</v>
      </c>
      <c r="L153" s="10">
        <v>0.1</v>
      </c>
      <c r="M153" s="10">
        <v>-6.086618171263939E-3</v>
      </c>
    </row>
    <row r="154" spans="2:13">
      <c r="B154" s="10">
        <v>11.599999999999975</v>
      </c>
      <c r="C154" s="10">
        <v>-6.6269865107920559E-2</v>
      </c>
      <c r="E154" s="10">
        <v>0.31753895226015316</v>
      </c>
      <c r="F154" s="10">
        <v>-0.17303622931557902</v>
      </c>
      <c r="G154" s="10">
        <v>-1.8825258318312561E-3</v>
      </c>
      <c r="H154" s="10">
        <v>0.18121683368168673</v>
      </c>
      <c r="I154" s="10">
        <v>9.2877847183926554E-2</v>
      </c>
      <c r="J154" s="10">
        <v>-9.2877847183926554E-2</v>
      </c>
      <c r="K154" s="10">
        <v>1.6391321075012882E-2</v>
      </c>
      <c r="L154" s="10">
        <v>0.1</v>
      </c>
      <c r="M154" s="10">
        <v>-1.7303622931557901E-2</v>
      </c>
    </row>
    <row r="155" spans="2:13">
      <c r="B155" s="10">
        <v>11.699999999999974</v>
      </c>
      <c r="C155" s="10">
        <v>-4.5678895080728255E-2</v>
      </c>
      <c r="E155" s="10">
        <v>0.35556611736971178</v>
      </c>
      <c r="F155" s="10">
        <v>-0.26242930658323654</v>
      </c>
      <c r="G155" s="10">
        <v>1.4508795243181626E-2</v>
      </c>
      <c r="H155" s="10">
        <v>0.16391321075012882</v>
      </c>
      <c r="I155" s="10">
        <v>8.8247802532078215E-2</v>
      </c>
      <c r="J155" s="10">
        <v>-8.8247802532078215E-2</v>
      </c>
      <c r="K155" s="10">
        <v>1.3767028009180516E-2</v>
      </c>
      <c r="L155" s="10">
        <v>0.1</v>
      </c>
      <c r="M155" s="10">
        <v>-2.6242930658323657E-2</v>
      </c>
    </row>
    <row r="156" spans="2:13">
      <c r="B156" s="10">
        <v>11.799999999999974</v>
      </c>
      <c r="C156" s="10">
        <v>-2.4268302055772167E-2</v>
      </c>
      <c r="E156" s="10">
        <v>0.36815839393831457</v>
      </c>
      <c r="F156" s="10">
        <v>-0.32553452867599098</v>
      </c>
      <c r="G156" s="10">
        <v>2.8275823252362144E-2</v>
      </c>
      <c r="H156" s="10">
        <v>0.13767028009180515</v>
      </c>
      <c r="I156" s="10">
        <v>8.3848569792091474E-2</v>
      </c>
      <c r="J156" s="10">
        <v>-8.3848569792091474E-2</v>
      </c>
      <c r="K156" s="10">
        <v>1.0511682722420606E-2</v>
      </c>
      <c r="L156" s="10">
        <v>0.1</v>
      </c>
      <c r="M156" s="10">
        <v>-3.25534528675991E-2</v>
      </c>
    </row>
    <row r="157" spans="2:13">
      <c r="B157" s="10">
        <v>11.899999999999974</v>
      </c>
      <c r="C157" s="10">
        <v>-3.4402167742637181E-3</v>
      </c>
      <c r="E157" s="10">
        <v>0.35678876752965855</v>
      </c>
      <c r="F157" s="10">
        <v>-0.36091755172667017</v>
      </c>
      <c r="G157" s="10">
        <v>3.8787505974782747E-2</v>
      </c>
      <c r="H157" s="10">
        <v>0.10511682722420605</v>
      </c>
      <c r="I157" s="10">
        <v>7.9668642781485763E-2</v>
      </c>
      <c r="J157" s="10">
        <v>-7.9668642781485763E-2</v>
      </c>
      <c r="K157" s="10">
        <v>6.9025072051539047E-3</v>
      </c>
      <c r="L157" s="10">
        <v>0.1</v>
      </c>
      <c r="M157" s="10">
        <v>-3.6091755172667016E-2</v>
      </c>
    </row>
    <row r="158" spans="2:13">
      <c r="B158" s="10">
        <v>11.999999999999973</v>
      </c>
      <c r="C158" s="10">
        <v>1.5575519795211773E-2</v>
      </c>
      <c r="E158" s="10">
        <v>0.32428660594043068</v>
      </c>
      <c r="F158" s="10">
        <v>-0.36910190979799351</v>
      </c>
      <c r="G158" s="10">
        <v>4.569001317993665E-2</v>
      </c>
      <c r="H158" s="10">
        <v>6.9025072051539044E-2</v>
      </c>
      <c r="I158" s="10">
        <v>7.5697088911379815E-2</v>
      </c>
      <c r="J158" s="10">
        <v>-7.5697088911379815E-2</v>
      </c>
      <c r="K158" s="10">
        <v>3.2114881071739691E-3</v>
      </c>
      <c r="L158" s="10">
        <v>0.1</v>
      </c>
      <c r="M158" s="10">
        <v>-3.6910190979799355E-2</v>
      </c>
    </row>
    <row r="159" spans="2:13">
      <c r="B159" s="10">
        <v>12.099999999999973</v>
      </c>
      <c r="C159" s="10">
        <v>3.1780569544661463E-2</v>
      </c>
      <c r="E159" s="10">
        <v>0.27454186355920546</v>
      </c>
      <c r="F159" s="10">
        <v>-0.35233457314158384</v>
      </c>
      <c r="G159" s="10">
        <v>4.890150128711062E-2</v>
      </c>
      <c r="H159" s="10">
        <v>3.2114881071739688E-2</v>
      </c>
      <c r="I159" s="10">
        <v>7.1923520592332091E-2</v>
      </c>
      <c r="J159" s="10">
        <v>-7.1923520592332091E-2</v>
      </c>
      <c r="K159" s="10">
        <v>-3.1185762424186942E-4</v>
      </c>
      <c r="L159" s="10">
        <v>0.1</v>
      </c>
      <c r="M159" s="10">
        <v>-3.5233457314158383E-2</v>
      </c>
    </row>
    <row r="160" spans="2:13">
      <c r="B160" s="10">
        <v>12.199999999999973</v>
      </c>
      <c r="C160" s="10">
        <v>4.4447254775639808E-2</v>
      </c>
      <c r="E160" s="10">
        <v>0.21216968927781682</v>
      </c>
      <c r="F160" s="10">
        <v>-0.31426288562220822</v>
      </c>
      <c r="G160" s="10">
        <v>4.8589643662868748E-2</v>
      </c>
      <c r="H160" s="10">
        <v>-3.1185762424186941E-3</v>
      </c>
      <c r="I160" s="10">
        <v>6.833806806562602E-2</v>
      </c>
      <c r="J160" s="10">
        <v>-6.833806806562602E-2</v>
      </c>
      <c r="K160" s="10">
        <v>-3.4544864804639517E-3</v>
      </c>
      <c r="L160" s="10">
        <v>0.1</v>
      </c>
      <c r="M160" s="10">
        <v>-3.1426288562220822E-2</v>
      </c>
    </row>
    <row r="161" spans="2:13">
      <c r="B161" s="10">
        <v>12.299999999999972</v>
      </c>
      <c r="C161" s="10">
        <v>5.3137191331744167E-2</v>
      </c>
      <c r="E161" s="10">
        <v>0.14215976005046232</v>
      </c>
      <c r="F161" s="10">
        <v>-0.25955305155666336</v>
      </c>
      <c r="G161" s="10">
        <v>4.5135157182404795E-2</v>
      </c>
      <c r="H161" s="10">
        <v>-3.4544864804639516E-2</v>
      </c>
      <c r="I161" s="10">
        <v>6.4931353588940102E-2</v>
      </c>
      <c r="J161" s="10">
        <v>-6.4931353588940102E-2</v>
      </c>
      <c r="K161" s="10">
        <v>-6.0500169960305862E-3</v>
      </c>
      <c r="L161" s="10">
        <v>0.1</v>
      </c>
      <c r="M161" s="10">
        <v>-2.5955305155666339E-2</v>
      </c>
    </row>
    <row r="162" spans="2:13">
      <c r="B162" s="10">
        <v>12.399999999999972</v>
      </c>
      <c r="C162" s="10">
        <v>5.77002417339132E-2</v>
      </c>
      <c r="E162" s="10">
        <v>6.9533454275538989E-2</v>
      </c>
      <c r="F162" s="10">
        <v>-0.1934810753946048</v>
      </c>
      <c r="G162" s="10">
        <v>3.9085140186374212E-2</v>
      </c>
      <c r="H162" s="10">
        <v>-6.0500169960305855E-2</v>
      </c>
      <c r="I162" s="10">
        <v>6.1694466908886088E-2</v>
      </c>
      <c r="J162" s="10">
        <v>-6.1694466908886088E-2</v>
      </c>
      <c r="K162" s="10">
        <v>-7.9848277499766345E-3</v>
      </c>
      <c r="L162" s="10">
        <v>0.1</v>
      </c>
      <c r="M162" s="10">
        <v>-1.934810753946048E-2</v>
      </c>
    </row>
    <row r="163" spans="2:13">
      <c r="B163" s="10">
        <v>12.499999999999972</v>
      </c>
      <c r="C163" s="10">
        <v>5.8255766203615701E-2</v>
      </c>
      <c r="E163" s="10">
        <v>9.7055601582105369E-4</v>
      </c>
      <c r="F163" s="10">
        <v>-0.12152569683849106</v>
      </c>
      <c r="G163" s="10">
        <v>3.1100312436397576E-2</v>
      </c>
      <c r="H163" s="10">
        <v>-7.9848277499766335E-2</v>
      </c>
      <c r="I163" s="10">
        <v>5.8618941956262556E-2</v>
      </c>
      <c r="J163" s="10">
        <v>-5.8618941956262556E-2</v>
      </c>
      <c r="K163" s="10">
        <v>-9.2000847183615446E-3</v>
      </c>
      <c r="L163" s="10">
        <v>0.1</v>
      </c>
      <c r="M163" s="10">
        <v>-1.2152569683849106E-2</v>
      </c>
    </row>
    <row r="164" spans="2:13">
      <c r="B164" s="10">
        <v>12.599999999999971</v>
      </c>
      <c r="C164" s="10">
        <v>5.5159050566714163E-2</v>
      </c>
      <c r="E164" s="10">
        <v>6.5165302681992804E-2</v>
      </c>
      <c r="F164" s="10">
        <v>-4.8989712229137811E-2</v>
      </c>
      <c r="G164" s="10">
        <v>2.1900227718036031E-2</v>
      </c>
      <c r="H164" s="10">
        <v>-9.2000847183615439E-2</v>
      </c>
      <c r="I164" s="10">
        <v>5.5696734703071932E-2</v>
      </c>
      <c r="J164" s="10">
        <v>-5.5696734703071932E-2</v>
      </c>
      <c r="K164" s="10">
        <v>-9.6899818406529226E-3</v>
      </c>
      <c r="L164" s="10">
        <v>0.1</v>
      </c>
      <c r="M164" s="10">
        <v>-4.8989712229137814E-3</v>
      </c>
    </row>
    <row r="165" spans="2:13">
      <c r="B165" s="10">
        <v>12.699999999999971</v>
      </c>
      <c r="C165" s="10">
        <v>4.8956425711495097E-2</v>
      </c>
      <c r="E165" s="10">
        <v>0.11962644114316197</v>
      </c>
      <c r="F165" s="10">
        <v>1.9328480607774617E-2</v>
      </c>
      <c r="G165" s="10">
        <v>1.2210245877383109E-2</v>
      </c>
      <c r="H165" s="10">
        <v>-9.6899818406529226E-2</v>
      </c>
      <c r="I165" s="10">
        <v>5.2920202123384816E-2</v>
      </c>
      <c r="J165" s="10">
        <v>-5.2920202123384816E-2</v>
      </c>
      <c r="K165" s="10">
        <v>-9.4966970345751762E-3</v>
      </c>
      <c r="L165" s="10">
        <v>0.1</v>
      </c>
      <c r="M165" s="10">
        <v>1.9328480607774619E-3</v>
      </c>
    </row>
    <row r="166" spans="2:13">
      <c r="B166" s="10">
        <v>12.799999999999971</v>
      </c>
      <c r="C166" s="10">
        <v>4.0332950068473136E-2</v>
      </c>
      <c r="E166" s="10">
        <v>0.16183715139537258</v>
      </c>
      <c r="F166" s="10">
        <v>7.939679147453732E-2</v>
      </c>
      <c r="G166" s="10">
        <v>2.7135488428079325E-3</v>
      </c>
      <c r="H166" s="10">
        <v>-9.4966970345751758E-2</v>
      </c>
      <c r="I166" s="10">
        <v>5.0282082203024367E-2</v>
      </c>
      <c r="J166" s="10">
        <v>-5.0282082203024367E-2</v>
      </c>
      <c r="K166" s="10">
        <v>-8.7027291198298034E-3</v>
      </c>
      <c r="L166" s="10">
        <v>0.1</v>
      </c>
      <c r="M166" s="10">
        <v>7.9396791474537331E-3</v>
      </c>
    </row>
    <row r="167" spans="2:13">
      <c r="B167" s="10">
        <v>12.89999999999997</v>
      </c>
      <c r="C167" s="10">
        <v>3.0056609561732034E-2</v>
      </c>
      <c r="E167" s="10">
        <v>0.19026388012194634</v>
      </c>
      <c r="F167" s="10">
        <v>0.12813449532328708</v>
      </c>
      <c r="G167" s="10">
        <v>-5.9891802770218709E-3</v>
      </c>
      <c r="H167" s="10">
        <v>-8.7027291198298024E-2</v>
      </c>
      <c r="I167" s="10">
        <v>4.7775474945785913E-2</v>
      </c>
      <c r="J167" s="10">
        <v>-4.7775474945785913E-2</v>
      </c>
      <c r="K167" s="10">
        <v>-7.4213841665969312E-3</v>
      </c>
      <c r="L167" s="10">
        <v>0.1</v>
      </c>
      <c r="M167" s="10">
        <v>1.2813449532328708E-2</v>
      </c>
    </row>
    <row r="168" spans="2:13">
      <c r="B168" s="10">
        <v>12.99999999999997</v>
      </c>
      <c r="C168" s="10">
        <v>1.8922820145368845E-2</v>
      </c>
      <c r="E168" s="10">
        <v>0.20436435359494162</v>
      </c>
      <c r="F168" s="10">
        <v>0.16351620758395993</v>
      </c>
      <c r="G168" s="10">
        <v>-1.3410564443618801E-2</v>
      </c>
      <c r="H168" s="10">
        <v>-7.421384166596931E-2</v>
      </c>
      <c r="I168" s="10">
        <v>4.5393824326513899E-2</v>
      </c>
      <c r="J168" s="10">
        <v>-4.5393824326513899E-2</v>
      </c>
      <c r="K168" s="10">
        <v>-5.7862220907573319E-3</v>
      </c>
      <c r="L168" s="10">
        <v>0.1</v>
      </c>
      <c r="M168" s="10">
        <v>1.6351620758395993E-2</v>
      </c>
    </row>
    <row r="169" spans="2:13">
      <c r="B169" s="10">
        <v>13.099999999999969</v>
      </c>
      <c r="C169" s="10">
        <v>7.7026313728610031E-3</v>
      </c>
      <c r="E169" s="10">
        <v>0.20453336722735166</v>
      </c>
      <c r="F169" s="10">
        <v>0.18459627674066953</v>
      </c>
      <c r="G169" s="10">
        <v>-1.9196786534376134E-2</v>
      </c>
      <c r="H169" s="10">
        <v>-5.7862220907573314E-2</v>
      </c>
      <c r="I169" s="10">
        <v>4.3130901143833895E-2</v>
      </c>
      <c r="J169" s="10">
        <v>-4.3130901143833895E-2</v>
      </c>
      <c r="K169" s="10">
        <v>-3.940259323350636E-3</v>
      </c>
      <c r="L169" s="10">
        <v>0.1</v>
      </c>
      <c r="M169" s="10">
        <v>1.8459627674066954E-2</v>
      </c>
    </row>
    <row r="170" spans="2:13">
      <c r="B170" s="10">
        <v>13.199999999999969</v>
      </c>
      <c r="C170" s="10">
        <v>-2.902529537207643E-3</v>
      </c>
      <c r="E170" s="10">
        <v>0.19199523085627695</v>
      </c>
      <c r="F170" s="10">
        <v>0.1914601396532343</v>
      </c>
      <c r="G170" s="10">
        <v>-2.313704585772677E-2</v>
      </c>
      <c r="H170" s="10">
        <v>-3.940259323350636E-2</v>
      </c>
      <c r="I170" s="10">
        <v>4.0980786727691759E-2</v>
      </c>
      <c r="J170" s="10">
        <v>-4.0980786727691759E-2</v>
      </c>
      <c r="K170" s="10">
        <v>-2.0256579268182928E-3</v>
      </c>
      <c r="L170" s="10">
        <v>0.1</v>
      </c>
      <c r="M170" s="10">
        <v>1.9146013965323432E-2</v>
      </c>
    </row>
    <row r="171" spans="2:13">
      <c r="B171" s="10">
        <v>13.299999999999969</v>
      </c>
      <c r="C171" s="10">
        <v>-3.4134722407412084E-14</v>
      </c>
      <c r="E171" s="10">
        <v>0.16865427209083764</v>
      </c>
      <c r="G171" s="10">
        <v>-2.5162703784545062E-2</v>
      </c>
      <c r="H171" s="10">
        <v>-2.0256579268182928E-2</v>
      </c>
      <c r="L171" s="10">
        <v>0.1</v>
      </c>
    </row>
    <row r="172" spans="2:13">
      <c r="B172" s="10">
        <v>13.399999999999968</v>
      </c>
      <c r="C172" s="10">
        <v>-2.7123243242612239E-14</v>
      </c>
      <c r="E172" s="10">
        <v>0.13691639210307749</v>
      </c>
      <c r="L172" s="10">
        <v>0.1</v>
      </c>
    </row>
    <row r="173" spans="2:13">
      <c r="B173" s="10">
        <v>13.499999999999968</v>
      </c>
      <c r="C173" s="10">
        <v>-2.1533255075608107E-14</v>
      </c>
      <c r="E173" s="10">
        <v>9.9495312818982606E-2</v>
      </c>
      <c r="L173" s="10">
        <v>0.1</v>
      </c>
    </row>
    <row r="174" spans="2:13">
      <c r="B174" s="10">
        <v>13.599999999999968</v>
      </c>
      <c r="C174" s="10">
        <v>-1.7081204046649005E-14</v>
      </c>
      <c r="E174" s="10">
        <v>5.9216895558555999E-2</v>
      </c>
      <c r="L174" s="10">
        <v>0.1</v>
      </c>
    </row>
    <row r="175" spans="2:13">
      <c r="B175" s="10">
        <v>13.699999999999967</v>
      </c>
      <c r="C175" s="10">
        <v>-1.3538934753574527E-14</v>
      </c>
      <c r="E175" s="10">
        <v>1.8833844924492509E-2</v>
      </c>
      <c r="L175" s="10">
        <v>0.1</v>
      </c>
    </row>
    <row r="176" spans="2:13">
      <c r="B176" s="10">
        <v>13.799999999999967</v>
      </c>
      <c r="C176" s="10">
        <v>-1.0723163904555679E-14</v>
      </c>
      <c r="E176" s="10">
        <v>1.9138624128579959E-2</v>
      </c>
      <c r="L176" s="10">
        <v>0.1</v>
      </c>
    </row>
    <row r="177" spans="2:12">
      <c r="B177" s="10">
        <v>13.899999999999967</v>
      </c>
      <c r="C177" s="10">
        <v>-8.4868767381197352E-15</v>
      </c>
      <c r="E177" s="10">
        <v>5.2557816529332689E-2</v>
      </c>
      <c r="L177" s="10">
        <v>0.1</v>
      </c>
    </row>
    <row r="178" spans="2:12">
      <c r="B178" s="10">
        <v>13.999999999999966</v>
      </c>
      <c r="C178" s="10">
        <v>-6.7123157151303476E-15</v>
      </c>
      <c r="E178" s="10">
        <v>7.9753502634632253E-2</v>
      </c>
      <c r="L178" s="10">
        <v>0.1</v>
      </c>
    </row>
    <row r="179" spans="2:12">
      <c r="B179" s="10">
        <v>14.099999999999966</v>
      </c>
      <c r="C179" s="10">
        <v>-5.3052820207574032E-15</v>
      </c>
      <c r="E179" s="10">
        <v>9.9589686724347232E-2</v>
      </c>
      <c r="L179" s="10">
        <v>0.1</v>
      </c>
    </row>
    <row r="180" spans="2:12">
      <c r="B180" s="10">
        <v>14.199999999999966</v>
      </c>
      <c r="C180" s="10">
        <v>-4.1905152772380577E-15</v>
      </c>
      <c r="E180" s="10">
        <v>0.11148774922294304</v>
      </c>
      <c r="L180" s="10">
        <v>0.1</v>
      </c>
    </row>
    <row r="181" spans="2:12">
      <c r="B181" s="10">
        <v>14.299999999999965</v>
      </c>
      <c r="C181" s="10">
        <v>-3.3079557429624502E-15</v>
      </c>
      <c r="E181" s="10">
        <v>0.11541295016644761</v>
      </c>
      <c r="L181" s="10">
        <v>0.1</v>
      </c>
    </row>
    <row r="182" spans="2:12">
      <c r="B182" s="10">
        <v>14.399999999999965</v>
      </c>
      <c r="C182" s="10">
        <v>-2.6097265744996663E-15</v>
      </c>
      <c r="E182" s="10">
        <v>0.11182837886342807</v>
      </c>
      <c r="L182" s="10">
        <v>0.1</v>
      </c>
    </row>
    <row r="183" spans="2:12">
      <c r="B183" s="10">
        <v>14.499999999999964</v>
      </c>
      <c r="C183" s="10">
        <v>-2.0577019880748082E-15</v>
      </c>
      <c r="E183" s="10">
        <v>0.10162209273701914</v>
      </c>
      <c r="L183" s="10">
        <v>0.1</v>
      </c>
    </row>
    <row r="184" spans="2:12">
      <c r="B184" s="10">
        <v>14.599999999999964</v>
      </c>
      <c r="C184" s="10">
        <v>-1.6215509519737017E-15</v>
      </c>
      <c r="E184" s="10">
        <v>8.6014343038339311E-2</v>
      </c>
      <c r="L184" s="10">
        <v>0.1</v>
      </c>
    </row>
    <row r="185" spans="2:12">
      <c r="B185" s="10">
        <v>14.699999999999964</v>
      </c>
      <c r="C185" s="10">
        <v>-1.2771659446074296E-15</v>
      </c>
      <c r="E185" s="10">
        <v>6.6452409448062508E-2</v>
      </c>
      <c r="L185" s="10">
        <v>0.1</v>
      </c>
    </row>
    <row r="186" spans="2:12">
      <c r="B186" s="10">
        <v>14.799999999999963</v>
      </c>
      <c r="C186" s="10">
        <v>-1.0054028667357908E-15</v>
      </c>
      <c r="E186" s="10">
        <v>4.450066779963207E-2</v>
      </c>
      <c r="L186" s="10">
        <v>0.1</v>
      </c>
    </row>
    <row r="187" spans="2:12">
      <c r="B187" s="10">
        <v>14.899999999999963</v>
      </c>
      <c r="C187" s="10">
        <v>-7.9107189663972727E-16</v>
      </c>
      <c r="E187" s="10">
        <v>2.1733135198198875E-2</v>
      </c>
      <c r="L187" s="10">
        <v>0.1</v>
      </c>
    </row>
    <row r="188" spans="2:12">
      <c r="B188" s="10">
        <v>14.999999999999963</v>
      </c>
      <c r="C188" s="10">
        <v>-6.2213036687341217E-16</v>
      </c>
      <c r="E188" s="10">
        <v>3.6505901097364749E-4</v>
      </c>
      <c r="L188" s="10">
        <v>0.1</v>
      </c>
    </row>
    <row r="189" spans="2:12">
      <c r="B189" s="10">
        <v>15.099999999999962</v>
      </c>
      <c r="C189" s="10">
        <v>-4.8903800928164149E-16</v>
      </c>
      <c r="E189" s="10">
        <v>2.0481953408799852E-2</v>
      </c>
      <c r="L189" s="10">
        <v>0.1</v>
      </c>
    </row>
    <row r="190" spans="2:12">
      <c r="B190" s="10">
        <v>15.199999999999962</v>
      </c>
      <c r="C190" s="10">
        <v>-3.842424974835916E-16</v>
      </c>
      <c r="E190" s="10">
        <v>3.7544818789500063E-2</v>
      </c>
      <c r="L190" s="10">
        <v>0.1</v>
      </c>
    </row>
    <row r="191" spans="2:12">
      <c r="B191" s="10">
        <v>15.299999999999962</v>
      </c>
      <c r="C191" s="10">
        <v>-3.0176940066148105E-16</v>
      </c>
      <c r="E191" s="10">
        <v>5.0765521539254836E-2</v>
      </c>
      <c r="L191" s="10">
        <v>0.1</v>
      </c>
    </row>
    <row r="192" spans="2:12">
      <c r="B192" s="10">
        <v>15.399999999999961</v>
      </c>
      <c r="C192" s="10">
        <v>-2.3689569310391996E-16</v>
      </c>
      <c r="E192" s="10">
        <v>5.9664205914495595E-2</v>
      </c>
      <c r="L192" s="10">
        <v>0.1</v>
      </c>
    </row>
    <row r="193" spans="2:12">
      <c r="B193" s="10">
        <v>15.499999999999961</v>
      </c>
      <c r="C193" s="10">
        <v>-1.8589004567697498E-16</v>
      </c>
      <c r="E193" s="10">
        <v>6.407174731095841E-2</v>
      </c>
      <c r="L193" s="10">
        <v>0.1</v>
      </c>
    </row>
    <row r="194" spans="2:12">
      <c r="B194" s="10">
        <v>15.599999999999961</v>
      </c>
      <c r="C194" s="10">
        <v>-1.4580642968594168E-16</v>
      </c>
      <c r="E194" s="10">
        <v>6.4112705894874583E-2</v>
      </c>
      <c r="L194" s="10">
        <v>0.1</v>
      </c>
    </row>
    <row r="195" spans="2:12">
      <c r="B195" s="10">
        <v>15.69999999999996</v>
      </c>
      <c r="C195" s="10">
        <v>-1.1432023295317871E-16</v>
      </c>
      <c r="E195" s="10">
        <v>6.0171566722823054E-2</v>
      </c>
      <c r="L195" s="10">
        <v>0.1</v>
      </c>
    </row>
    <row r="196" spans="2:12">
      <c r="B196" s="10">
        <v>15.79999999999996</v>
      </c>
      <c r="C196" s="10">
        <v>-8.9598240244412232E-17</v>
      </c>
      <c r="E196" s="10">
        <v>5.2845842676692616E-2</v>
      </c>
      <c r="L196" s="10">
        <v>0.1</v>
      </c>
    </row>
    <row r="197" spans="2:12">
      <c r="B197" s="10">
        <v>15.899999999999959</v>
      </c>
      <c r="C197" s="10">
        <v>-7.0195562511457487E-17</v>
      </c>
      <c r="E197" s="10">
        <v>4.2890114775362066E-2</v>
      </c>
      <c r="L197" s="10">
        <v>0.1</v>
      </c>
    </row>
    <row r="198" spans="2:12">
      <c r="B198" s="10">
        <v>15.999999999999959</v>
      </c>
      <c r="C198" s="10">
        <v>-5.4973991445009958E-17</v>
      </c>
      <c r="E198" s="10">
        <v>3.1155285655449862E-2</v>
      </c>
      <c r="L198" s="10">
        <v>0.1</v>
      </c>
    </row>
    <row r="199" spans="2:12">
      <c r="B199" s="10">
        <v>16.099999999999959</v>
      </c>
      <c r="C199" s="10">
        <v>-4.3037372694419304E-17</v>
      </c>
      <c r="E199" s="10">
        <v>1.8527240077195913E-2</v>
      </c>
      <c r="L199" s="10">
        <v>0.1</v>
      </c>
    </row>
    <row r="200" spans="2:12">
      <c r="B200" s="10">
        <v>16.19999999999996</v>
      </c>
      <c r="C200" s="10">
        <v>-3.3680485929791237E-17</v>
      </c>
      <c r="E200" s="10">
        <v>5.8687713908685876E-3</v>
      </c>
      <c r="L200" s="10">
        <v>0.1</v>
      </c>
    </row>
    <row r="201" spans="2:12">
      <c r="B201" s="10">
        <v>16.299999999999962</v>
      </c>
      <c r="C201" s="10">
        <v>-2.6348635887110072E-17</v>
      </c>
      <c r="E201" s="10">
        <v>6.0319117997138108E-3</v>
      </c>
      <c r="L201" s="10">
        <v>0.1</v>
      </c>
    </row>
    <row r="202" spans="2:12">
      <c r="B202" s="10">
        <v>16.399999999999963</v>
      </c>
      <c r="C202" s="10">
        <v>-2.0605730683532295E-17</v>
      </c>
      <c r="E202" s="10">
        <v>1.6503486622626531E-2</v>
      </c>
      <c r="L202" s="10">
        <v>0.1</v>
      </c>
    </row>
    <row r="203" spans="2:12">
      <c r="B203" s="10">
        <v>16.499999999999964</v>
      </c>
      <c r="C203" s="10">
        <v>-1.6109080371088413E-17</v>
      </c>
      <c r="E203" s="10">
        <v>2.5022814368039634E-2</v>
      </c>
      <c r="L203" s="10">
        <v>0.1</v>
      </c>
    </row>
    <row r="204" spans="2:12">
      <c r="B204" s="10">
        <v>16.599999999999966</v>
      </c>
      <c r="C204" s="10">
        <v>0.65586037139392583</v>
      </c>
      <c r="E204" s="10">
        <v>3.1234269359799199E-2</v>
      </c>
      <c r="L204" s="10">
        <v>0.1</v>
      </c>
    </row>
    <row r="205" spans="2:12">
      <c r="B205" s="10">
        <v>16.699999999999967</v>
      </c>
      <c r="C205" s="10">
        <v>9.482037563953881</v>
      </c>
      <c r="E205" s="10">
        <v>3.4956959736429816E-2</v>
      </c>
      <c r="L205" s="10">
        <v>0.1</v>
      </c>
    </row>
    <row r="206" spans="2:12">
      <c r="B206" s="10">
        <v>16.799999999999969</v>
      </c>
      <c r="C206" s="10">
        <v>17.69208709491225</v>
      </c>
      <c r="E206" s="10">
        <v>3.6180465246992324E-2</v>
      </c>
      <c r="L206" s="10">
        <v>0.1</v>
      </c>
    </row>
    <row r="207" spans="2:12">
      <c r="B207" s="10">
        <v>16.89999999999997</v>
      </c>
      <c r="C207" s="10">
        <v>24.752533054157446</v>
      </c>
      <c r="E207" s="10">
        <v>3.5050374330085975E-2</v>
      </c>
      <c r="L207" s="10">
        <v>0.1</v>
      </c>
    </row>
    <row r="208" spans="2:12">
      <c r="B208" s="10">
        <v>16.999999999999972</v>
      </c>
      <c r="C208" s="10">
        <v>30.204598936176435</v>
      </c>
      <c r="E208" s="10">
        <v>3.184542209008847E-2</v>
      </c>
      <c r="L208" s="10">
        <v>0.1</v>
      </c>
    </row>
    <row r="209" spans="2:12">
      <c r="B209" s="10">
        <v>17.099999999999973</v>
      </c>
      <c r="C209" s="10">
        <v>33.69401820488671</v>
      </c>
      <c r="E209" s="10">
        <v>2.6948392301102162E-2</v>
      </c>
      <c r="L209" s="10">
        <v>0.1</v>
      </c>
    </row>
    <row r="210" spans="2:12">
      <c r="B210" s="10">
        <v>17.199999999999974</v>
      </c>
      <c r="C210" s="10">
        <v>34.994053967518411</v>
      </c>
      <c r="E210" s="10">
        <v>2.0813141811391128E-2</v>
      </c>
      <c r="L210" s="10">
        <v>0.1</v>
      </c>
    </row>
    <row r="211" spans="2:12">
      <c r="B211" s="10">
        <v>17.299999999999976</v>
      </c>
      <c r="C211" s="10">
        <v>34.020231975891626</v>
      </c>
      <c r="E211" s="10">
        <v>1.3930137311241018E-2</v>
      </c>
      <c r="L211" s="10">
        <v>0.1</v>
      </c>
    </row>
    <row r="212" spans="2:12">
      <c r="B212" s="10">
        <v>17.399999999999977</v>
      </c>
      <c r="C212" s="10">
        <v>30.835829628189007</v>
      </c>
      <c r="E212" s="10">
        <v>6.7927749099466498E-3</v>
      </c>
      <c r="L212" s="10">
        <v>0.1</v>
      </c>
    </row>
    <row r="213" spans="2:12">
      <c r="B213" s="10">
        <v>17.499999999999979</v>
      </c>
      <c r="C213" s="10">
        <v>25.647764304652462</v>
      </c>
      <c r="E213" s="10">
        <v>1.3349684718602637E-4</v>
      </c>
      <c r="L213" s="10">
        <v>0.1</v>
      </c>
    </row>
    <row r="214" spans="2:12">
      <c r="B214" s="10">
        <v>17.59999999999998</v>
      </c>
      <c r="C214" s="10">
        <v>18.793148206585471</v>
      </c>
      <c r="E214" s="10">
        <v>6.4375829525220255E-3</v>
      </c>
      <c r="L214" s="10">
        <v>0.1</v>
      </c>
    </row>
    <row r="215" spans="2:12">
      <c r="B215" s="10">
        <v>17.699999999999982</v>
      </c>
      <c r="C215" s="10">
        <v>10.717383343755808</v>
      </c>
      <c r="E215" s="10">
        <v>1.1783434579344736E-2</v>
      </c>
      <c r="L215" s="10">
        <v>0.1</v>
      </c>
    </row>
    <row r="216" spans="2:12">
      <c r="B216" s="10">
        <v>17.799999999999983</v>
      </c>
      <c r="C216" s="10">
        <v>1.9452200229429697</v>
      </c>
      <c r="E216" s="10">
        <v>1.5924250721755205E-2</v>
      </c>
      <c r="L216" s="10">
        <v>0.1</v>
      </c>
    </row>
    <row r="217" spans="2:12">
      <c r="B217" s="10">
        <v>17.899999999999984</v>
      </c>
      <c r="C217" s="10">
        <v>-6.9533405891643643</v>
      </c>
      <c r="E217" s="10">
        <v>1.8709882880873788E-2</v>
      </c>
      <c r="L217" s="10">
        <v>0.1</v>
      </c>
    </row>
    <row r="218" spans="2:12">
      <c r="B218" s="10">
        <v>17.999999999999986</v>
      </c>
      <c r="C218" s="10">
        <v>-15.400084231698886</v>
      </c>
      <c r="E218" s="10">
        <v>2.008758574457406E-2</v>
      </c>
      <c r="L218" s="10">
        <v>0.1</v>
      </c>
    </row>
    <row r="219" spans="2:12">
      <c r="B219" s="10">
        <v>18.099999999999987</v>
      </c>
      <c r="C219" s="10">
        <v>-22.846154989091666</v>
      </c>
      <c r="E219" s="10">
        <v>2.0096657047565313E-2</v>
      </c>
      <c r="L219" s="10">
        <v>0.1</v>
      </c>
    </row>
    <row r="220" spans="2:12">
      <c r="B220" s="10">
        <v>18.199999999999989</v>
      </c>
      <c r="C220" s="10">
        <v>-28.807719072146106</v>
      </c>
      <c r="E220" s="10">
        <v>1.8857840856419072E-2</v>
      </c>
      <c r="L220" s="10">
        <v>0.1</v>
      </c>
    </row>
    <row r="221" spans="2:12">
      <c r="B221" s="10">
        <v>18.29999999999999</v>
      </c>
      <c r="C221" s="10">
        <v>-32.89740356515636</v>
      </c>
      <c r="E221" s="10">
        <v>1.6558615988406876E-2</v>
      </c>
      <c r="L221" s="10">
        <v>0.1</v>
      </c>
    </row>
    <row r="222" spans="2:12">
      <c r="B222" s="10">
        <v>18.399999999999991</v>
      </c>
      <c r="C222" s="10">
        <v>-34.849467299479151</v>
      </c>
      <c r="E222" s="10">
        <v>1.3435647196759415E-2</v>
      </c>
      <c r="L222" s="10">
        <v>0.1</v>
      </c>
    </row>
    <row r="223" spans="2:12">
      <c r="B223" s="10">
        <v>18.499999999999993</v>
      </c>
      <c r="C223" s="10">
        <v>-34.537068290381264</v>
      </c>
      <c r="E223" s="10">
        <v>9.7557395760315083E-3</v>
      </c>
      <c r="L223" s="10">
        <v>0.1</v>
      </c>
    </row>
    <row r="224" spans="2:12">
      <c r="B224" s="10">
        <v>18.599999999999994</v>
      </c>
      <c r="C224" s="10">
        <v>-31.980505726688289</v>
      </c>
      <c r="E224" s="10">
        <v>5.7966107133767333E-3</v>
      </c>
      <c r="L224" s="10">
        <v>0.1</v>
      </c>
    </row>
    <row r="225" spans="2:12">
      <c r="B225" s="10">
        <v>18.699999999999996</v>
      </c>
      <c r="C225" s="10">
        <v>-27.345900961904917</v>
      </c>
      <c r="E225" s="10">
        <v>1.8286899098002214E-3</v>
      </c>
      <c r="L225" s="10">
        <v>0.1</v>
      </c>
    </row>
    <row r="226" spans="2:12">
      <c r="B226" s="10">
        <v>18.799999999999997</v>
      </c>
      <c r="C226" s="10">
        <v>-20.934403213898502</v>
      </c>
      <c r="E226" s="10">
        <v>1.9010171255796058E-3</v>
      </c>
      <c r="L226" s="10">
        <v>0.1</v>
      </c>
    </row>
    <row r="227" spans="2:12">
      <c r="B227" s="10">
        <v>18.899999999999999</v>
      </c>
      <c r="C227" s="10">
        <v>-13.162621369545858</v>
      </c>
      <c r="E227" s="10">
        <v>5.1821799142390147E-3</v>
      </c>
      <c r="L227" s="10">
        <v>0.1</v>
      </c>
    </row>
    <row r="228" spans="2:12">
      <c r="B228" s="10">
        <v>19</v>
      </c>
      <c r="C228" s="10">
        <v>-4.5355534044342036</v>
      </c>
      <c r="E228" s="10">
        <v>7.8509444493908235E-3</v>
      </c>
      <c r="L228" s="10">
        <v>0.1</v>
      </c>
    </row>
    <row r="229" spans="2:12">
      <c r="B229" s="10">
        <v>19.100000000000001</v>
      </c>
      <c r="C229" s="10">
        <v>4.3862275792976702</v>
      </c>
      <c r="E229" s="10">
        <v>9.7959816524113338E-3</v>
      </c>
      <c r="L229" s="10">
        <v>0.1</v>
      </c>
    </row>
    <row r="230" spans="2:12">
      <c r="B230" s="10">
        <v>19.200000000000003</v>
      </c>
      <c r="C230" s="10">
        <v>13.022998498108629</v>
      </c>
      <c r="E230" s="10">
        <v>1.0960740335446879E-2</v>
      </c>
      <c r="L230" s="10">
        <v>0.1</v>
      </c>
    </row>
    <row r="231" spans="2:12">
      <c r="B231" s="10">
        <v>19.300000000000004</v>
      </c>
      <c r="C231" s="10">
        <v>20.813555767420524</v>
      </c>
      <c r="E231" s="10">
        <v>1.1342101273179752E-2</v>
      </c>
      <c r="L231" s="10">
        <v>0.1</v>
      </c>
    </row>
    <row r="232" spans="2:12">
      <c r="B232" s="10">
        <v>19.400000000000006</v>
      </c>
      <c r="C232" s="10">
        <v>27.251681414509694</v>
      </c>
      <c r="E232" s="10">
        <v>1.0985834887629359E-2</v>
      </c>
      <c r="L232" s="10">
        <v>0.1</v>
      </c>
    </row>
    <row r="233" spans="2:12">
      <c r="B233" s="10">
        <v>19.500000000000007</v>
      </c>
      <c r="C233" s="10">
        <v>31.919036314131812</v>
      </c>
      <c r="E233" s="10">
        <v>9.9794277238995886E-3</v>
      </c>
      <c r="L233" s="10">
        <v>0.1</v>
      </c>
    </row>
    <row r="234" spans="2:12">
      <c r="B234" s="10">
        <v>19.600000000000009</v>
      </c>
      <c r="C234" s="10">
        <v>34.512343196947555</v>
      </c>
      <c r="E234" s="10">
        <v>8.442956078702676E-3</v>
      </c>
      <c r="L234" s="10">
        <v>0.1</v>
      </c>
    </row>
    <row r="235" spans="2:12">
      <c r="B235" s="10">
        <v>19.70000000000001</v>
      </c>
      <c r="C235" s="10">
        <v>34.863093122262725</v>
      </c>
      <c r="E235" s="10">
        <v>6.5187462002366777E-3</v>
      </c>
      <c r="L235" s="10">
        <v>0.1</v>
      </c>
    </row>
    <row r="236" spans="2:12">
      <c r="B236" s="10">
        <v>19.800000000000011</v>
      </c>
      <c r="C236" s="10">
        <v>32.948494919948125</v>
      </c>
      <c r="E236" s="10">
        <v>4.3605702389706317E-3</v>
      </c>
      <c r="L236" s="10">
        <v>0.1</v>
      </c>
    </row>
    <row r="237" spans="2:12">
      <c r="B237" s="10">
        <v>19.900000000000013</v>
      </c>
      <c r="C237" s="10">
        <v>28.892956124285533</v>
      </c>
      <c r="E237" s="10">
        <v>2.1230895349200122E-3</v>
      </c>
      <c r="L237" s="10">
        <v>0.1</v>
      </c>
    </row>
    <row r="238" spans="2:12">
      <c r="B238" s="10">
        <v>20.000000000000014</v>
      </c>
      <c r="C238" s="10">
        <v>22.959999171022847</v>
      </c>
      <c r="E238" s="10">
        <v>4.7821591805597388E-5</v>
      </c>
      <c r="L238" s="10">
        <v>0.1</v>
      </c>
    </row>
    <row r="239" spans="2:12">
      <c r="G239" s="10">
        <v>6.6943235317987178</v>
      </c>
      <c r="H239" s="10">
        <v>-85.650143955231783</v>
      </c>
    </row>
  </sheetData>
  <mergeCells count="6">
    <mergeCell ref="D14:D15"/>
    <mergeCell ref="D16:D17"/>
    <mergeCell ref="B14:C15"/>
    <mergeCell ref="B16:C17"/>
    <mergeCell ref="A1:C1"/>
    <mergeCell ref="A2:C5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P239"/>
  <sheetViews>
    <sheetView showGridLines="0" tabSelected="1" workbookViewId="0">
      <selection activeCell="I30" sqref="I30"/>
    </sheetView>
  </sheetViews>
  <sheetFormatPr defaultRowHeight="16.5"/>
  <cols>
    <col min="1" max="1" width="9" style="12"/>
    <col min="2" max="13" width="9" style="10"/>
    <col min="14" max="16384" width="9" style="12"/>
  </cols>
  <sheetData>
    <row r="1" spans="1:16">
      <c r="A1" s="39" t="s">
        <v>14</v>
      </c>
      <c r="B1" s="39"/>
      <c r="C1" s="39"/>
    </row>
    <row r="2" spans="1:16">
      <c r="A2" s="39" t="s">
        <v>15</v>
      </c>
      <c r="B2" s="40"/>
      <c r="C2" s="40"/>
    </row>
    <row r="3" spans="1:16">
      <c r="A3" s="40"/>
      <c r="B3" s="40"/>
      <c r="C3" s="40"/>
    </row>
    <row r="4" spans="1:16">
      <c r="A4" s="40"/>
      <c r="B4" s="40"/>
      <c r="C4" s="40"/>
    </row>
    <row r="5" spans="1:16">
      <c r="A5" s="40"/>
      <c r="B5" s="40"/>
      <c r="C5" s="40"/>
    </row>
    <row r="9" spans="1:16">
      <c r="J9" s="21">
        <v>1.3</v>
      </c>
      <c r="K9" s="22" t="s">
        <v>10</v>
      </c>
      <c r="L9" s="17"/>
      <c r="M9" s="17"/>
      <c r="N9" s="13"/>
      <c r="O9" s="13"/>
      <c r="P9" s="14"/>
    </row>
    <row r="10" spans="1:16">
      <c r="J10" s="18"/>
      <c r="K10" s="17"/>
      <c r="L10" s="17"/>
      <c r="M10" s="17"/>
      <c r="N10" s="13"/>
      <c r="O10" s="13"/>
      <c r="P10" s="14"/>
    </row>
    <row r="11" spans="1:16">
      <c r="B11" s="1"/>
      <c r="C11" s="1"/>
      <c r="D11" s="1"/>
      <c r="E11" s="1"/>
      <c r="F11" s="1"/>
      <c r="G11" s="1"/>
      <c r="H11" s="1"/>
      <c r="J11" s="18"/>
      <c r="K11" s="17"/>
      <c r="L11" s="17"/>
      <c r="M11" s="17"/>
      <c r="N11" s="13"/>
      <c r="O11" s="13"/>
      <c r="P11" s="14"/>
    </row>
    <row r="12" spans="1:16">
      <c r="B12" s="1"/>
      <c r="C12" s="1"/>
      <c r="D12" s="1"/>
      <c r="E12" s="1"/>
      <c r="F12" s="1"/>
      <c r="G12" s="1"/>
      <c r="H12" s="1"/>
      <c r="J12" s="18"/>
      <c r="K12" s="17"/>
      <c r="L12" s="17"/>
      <c r="M12" s="17"/>
      <c r="N12" s="13"/>
      <c r="O12" s="13"/>
      <c r="P12" s="14"/>
    </row>
    <row r="13" spans="1:16" ht="17.25" thickBot="1">
      <c r="B13" s="1"/>
      <c r="C13" s="1"/>
      <c r="D13" s="1"/>
      <c r="E13" s="1"/>
      <c r="F13" s="1"/>
      <c r="G13" s="1"/>
      <c r="H13" s="1"/>
      <c r="J13" s="18"/>
      <c r="K13" s="17"/>
      <c r="L13" s="17"/>
      <c r="M13" s="17"/>
      <c r="N13" s="13"/>
      <c r="O13" s="13"/>
      <c r="P13" s="14"/>
    </row>
    <row r="14" spans="1:16" ht="16.5" customHeight="1" thickTop="1" thickBot="1">
      <c r="B14" s="35" t="s">
        <v>13</v>
      </c>
      <c r="C14" s="36"/>
      <c r="D14" s="41">
        <f>E14/4</f>
        <v>159.25</v>
      </c>
      <c r="E14" s="2">
        <v>637</v>
      </c>
      <c r="F14" s="3"/>
      <c r="G14" s="3"/>
      <c r="H14" s="4"/>
      <c r="J14" s="18"/>
      <c r="K14" s="17"/>
      <c r="L14" s="17"/>
      <c r="M14" s="17"/>
      <c r="N14" s="13"/>
      <c r="O14" s="13"/>
      <c r="P14" s="14"/>
    </row>
    <row r="15" spans="1:16" ht="16.5" customHeight="1" thickTop="1" thickBot="1">
      <c r="B15" s="35"/>
      <c r="C15" s="36"/>
      <c r="D15" s="41"/>
      <c r="E15" s="1"/>
      <c r="F15" s="1"/>
      <c r="G15" s="1"/>
      <c r="H15" s="5"/>
      <c r="J15" s="18"/>
      <c r="K15" s="17"/>
      <c r="L15" s="17"/>
      <c r="M15" s="17"/>
      <c r="N15" s="13"/>
      <c r="O15" s="13"/>
      <c r="P15" s="14"/>
    </row>
    <row r="16" spans="1:16" ht="16.5" customHeight="1" thickTop="1" thickBot="1">
      <c r="B16" s="35" t="s">
        <v>12</v>
      </c>
      <c r="C16" s="37"/>
      <c r="D16" s="41">
        <f>E16/10</f>
        <v>49.6</v>
      </c>
      <c r="E16" s="2">
        <v>496</v>
      </c>
      <c r="F16" s="2">
        <v>25.699999999999541</v>
      </c>
      <c r="G16" s="3"/>
      <c r="H16" s="4"/>
      <c r="J16" s="18"/>
      <c r="K16" s="17"/>
      <c r="L16" s="17"/>
      <c r="M16" s="17"/>
      <c r="N16" s="13"/>
      <c r="O16" s="13"/>
      <c r="P16" s="14"/>
    </row>
    <row r="17" spans="2:16" ht="16.5" customHeight="1" thickTop="1" thickBot="1">
      <c r="B17" s="38"/>
      <c r="C17" s="37"/>
      <c r="D17" s="41"/>
      <c r="E17" s="6"/>
      <c r="F17" s="6"/>
      <c r="G17" s="6"/>
      <c r="H17" s="7"/>
      <c r="J17" s="18"/>
      <c r="K17" s="17"/>
      <c r="L17" s="17"/>
      <c r="M17" s="17"/>
      <c r="N17" s="13"/>
      <c r="O17" s="13"/>
      <c r="P17" s="14"/>
    </row>
    <row r="18" spans="2:16" ht="18" thickTop="1" thickBot="1">
      <c r="B18" s="1"/>
      <c r="C18" s="1"/>
      <c r="D18" s="1"/>
      <c r="E18" s="1"/>
      <c r="F18" s="1"/>
      <c r="G18" s="1"/>
      <c r="H18" s="1"/>
      <c r="J18" s="19"/>
      <c r="K18" s="20"/>
      <c r="L18" s="20"/>
      <c r="M18" s="20"/>
      <c r="N18" s="15"/>
      <c r="O18" s="15"/>
      <c r="P18" s="16"/>
    </row>
    <row r="19" spans="2:16" ht="17.25" thickTop="1"/>
    <row r="22" spans="2:16">
      <c r="I22" s="8" t="s">
        <v>8</v>
      </c>
      <c r="J22" s="1"/>
    </row>
    <row r="23" spans="2:16">
      <c r="I23" s="1">
        <v>1.1835473962989453E-2</v>
      </c>
      <c r="J23" s="1"/>
    </row>
    <row r="24" spans="2:16">
      <c r="I24" s="1"/>
      <c r="J24" s="1"/>
    </row>
    <row r="25" spans="2:16">
      <c r="I25" s="9" t="s">
        <v>9</v>
      </c>
      <c r="J25" s="1"/>
    </row>
    <row r="26" spans="2:16">
      <c r="I26" s="1">
        <v>107.03170584492329</v>
      </c>
      <c r="J26" s="1" t="s">
        <v>10</v>
      </c>
    </row>
    <row r="27" spans="2:16">
      <c r="I27" s="1"/>
      <c r="J27" s="1"/>
    </row>
    <row r="28" spans="2:16">
      <c r="I28" s="8" t="s">
        <v>17</v>
      </c>
      <c r="J28" s="1"/>
    </row>
    <row r="29" spans="2:16">
      <c r="I29" s="1">
        <f>D14/100*D16^2</f>
        <v>3917.8048000000003</v>
      </c>
      <c r="J29" s="1"/>
    </row>
    <row r="30" spans="2:16">
      <c r="I30" s="1"/>
      <c r="J30" s="1"/>
    </row>
    <row r="31" spans="2:16">
      <c r="I31" s="1"/>
      <c r="J31" s="1"/>
    </row>
    <row r="32" spans="2:16">
      <c r="I32" s="1"/>
      <c r="J32" s="1"/>
    </row>
    <row r="37" spans="2:13">
      <c r="B37" s="10" t="s">
        <v>0</v>
      </c>
      <c r="C37" s="10" t="s">
        <v>1</v>
      </c>
      <c r="F37" s="11" t="s">
        <v>2</v>
      </c>
      <c r="G37" s="11" t="s">
        <v>3</v>
      </c>
      <c r="H37" s="11" t="s">
        <v>4</v>
      </c>
      <c r="K37" s="11" t="s">
        <v>5</v>
      </c>
      <c r="L37" s="11" t="s">
        <v>6</v>
      </c>
      <c r="M37" s="11" t="s">
        <v>7</v>
      </c>
    </row>
    <row r="38" spans="2:13">
      <c r="B38" s="10">
        <v>0</v>
      </c>
      <c r="C38" s="10">
        <v>35</v>
      </c>
      <c r="E38" s="10">
        <v>0</v>
      </c>
      <c r="F38" s="10">
        <v>-215.38461538461539</v>
      </c>
      <c r="G38" s="10">
        <v>35</v>
      </c>
      <c r="H38" s="10">
        <v>0</v>
      </c>
      <c r="I38" s="10">
        <v>35</v>
      </c>
      <c r="J38" s="10">
        <v>-35</v>
      </c>
      <c r="K38" s="10">
        <v>-2.1538461538461542</v>
      </c>
      <c r="L38" s="10">
        <v>0.1</v>
      </c>
      <c r="M38" s="10">
        <v>-21.53846153846154</v>
      </c>
    </row>
    <row r="39" spans="2:13">
      <c r="B39" s="10">
        <v>0.1</v>
      </c>
      <c r="C39" s="10">
        <v>27.312127399009228</v>
      </c>
      <c r="E39" s="10">
        <v>21.442935167220863</v>
      </c>
      <c r="F39" s="10">
        <v>-95.29940828402367</v>
      </c>
      <c r="G39" s="10">
        <v>32.846153846153847</v>
      </c>
      <c r="H39" s="10">
        <v>-21.53846153846154</v>
      </c>
      <c r="I39" s="10">
        <v>27.312598014731201</v>
      </c>
      <c r="J39" s="10">
        <v>-27.312598014731201</v>
      </c>
      <c r="K39" s="10">
        <v>-3.106840236686391</v>
      </c>
      <c r="L39" s="10">
        <v>0.1</v>
      </c>
      <c r="M39" s="10">
        <v>-9.529940828402367</v>
      </c>
    </row>
    <row r="40" spans="2:13">
      <c r="B40" s="10">
        <v>0.2</v>
      </c>
      <c r="C40" s="10">
        <v>21.312188451574933</v>
      </c>
      <c r="E40" s="10">
        <v>36.397135747455401</v>
      </c>
      <c r="F40" s="10">
        <v>-28.911884934000909</v>
      </c>
      <c r="G40" s="10">
        <v>29.739313609467455</v>
      </c>
      <c r="H40" s="10">
        <v>-31.068402366863907</v>
      </c>
      <c r="I40" s="10">
        <v>21.313657437551392</v>
      </c>
      <c r="J40" s="10">
        <v>-21.313657437551392</v>
      </c>
      <c r="K40" s="10">
        <v>-3.3959590860264002</v>
      </c>
      <c r="L40" s="10">
        <v>0.1</v>
      </c>
      <c r="M40" s="10">
        <v>-2.8911884934000911</v>
      </c>
    </row>
    <row r="41" spans="2:13">
      <c r="B41" s="10">
        <v>0.30000000000000004</v>
      </c>
      <c r="C41" s="10">
        <v>16.629745285970611</v>
      </c>
      <c r="E41" s="10">
        <v>45.329176950080608</v>
      </c>
      <c r="F41" s="10">
        <v>6.32661975342603</v>
      </c>
      <c r="G41" s="10">
        <v>26.343354523441054</v>
      </c>
      <c r="H41" s="10">
        <v>-33.959590860264001</v>
      </c>
      <c r="I41" s="10">
        <v>16.632324509015053</v>
      </c>
      <c r="J41" s="10">
        <v>-16.632324509015053</v>
      </c>
      <c r="K41" s="10">
        <v>-3.3326928884921401</v>
      </c>
      <c r="L41" s="10">
        <v>0.1</v>
      </c>
      <c r="M41" s="10">
        <v>0.63266197534260304</v>
      </c>
    </row>
    <row r="42" spans="2:13">
      <c r="B42" s="10">
        <v>0.4</v>
      </c>
      <c r="C42" s="10">
        <v>12.975621709302802</v>
      </c>
      <c r="E42" s="10">
        <v>49.017429368229209</v>
      </c>
      <c r="F42" s="10">
        <v>23.697495669524528</v>
      </c>
      <c r="G42" s="10">
        <v>23.010661634948914</v>
      </c>
      <c r="H42" s="10">
        <v>-33.326928884921401</v>
      </c>
      <c r="I42" s="10">
        <v>12.979199810436848</v>
      </c>
      <c r="J42" s="10">
        <v>-12.979199810436848</v>
      </c>
      <c r="K42" s="10">
        <v>-3.0957179317968948</v>
      </c>
      <c r="L42" s="10">
        <v>0.1</v>
      </c>
      <c r="M42" s="10">
        <v>2.3697495669524531</v>
      </c>
    </row>
    <row r="43" spans="2:13">
      <c r="B43" s="10">
        <v>0.5</v>
      </c>
      <c r="C43" s="10">
        <v>10.124084917506952</v>
      </c>
      <c r="E43" s="10">
        <v>48.425136252662185</v>
      </c>
      <c r="F43" s="10">
        <v>30.994109705421238</v>
      </c>
      <c r="G43" s="10">
        <v>19.914943703152019</v>
      </c>
      <c r="H43" s="10">
        <v>-30.957179317968947</v>
      </c>
      <c r="I43" s="10">
        <v>10.128447627866771</v>
      </c>
      <c r="J43" s="10">
        <v>-10.128447627866771</v>
      </c>
      <c r="K43" s="10">
        <v>-2.7857768347426823</v>
      </c>
      <c r="L43" s="10">
        <v>0.1</v>
      </c>
      <c r="M43" s="10">
        <v>3.0994109705421238</v>
      </c>
    </row>
    <row r="44" spans="2:13">
      <c r="B44" s="10">
        <v>0.6</v>
      </c>
      <c r="C44" s="10">
        <v>7.8989325136954447</v>
      </c>
      <c r="E44" s="10">
        <v>44.590131546706409</v>
      </c>
      <c r="F44" s="10">
        <v>32.764273351487276</v>
      </c>
      <c r="G44" s="10">
        <v>17.129166868409335</v>
      </c>
      <c r="H44" s="10">
        <v>-27.857768347426823</v>
      </c>
      <c r="I44" s="10">
        <v>7.903834816376655</v>
      </c>
      <c r="J44" s="10">
        <v>-7.903834816376655</v>
      </c>
      <c r="K44" s="10">
        <v>-2.4581341012278095</v>
      </c>
      <c r="L44" s="10">
        <v>0.1</v>
      </c>
      <c r="M44" s="10">
        <v>3.2764273351487279</v>
      </c>
    </row>
    <row r="45" spans="2:13">
      <c r="B45" s="10">
        <v>0.7</v>
      </c>
      <c r="C45" s="10">
        <v>6.1626292702865273</v>
      </c>
      <c r="E45" s="10">
        <v>38.535023676106157</v>
      </c>
      <c r="F45" s="10">
        <v>31.640172853628428</v>
      </c>
      <c r="G45" s="10">
        <v>14.671032767181526</v>
      </c>
      <c r="H45" s="10">
        <v>-24.581341012278095</v>
      </c>
      <c r="I45" s="10">
        <v>6.1678360889866388</v>
      </c>
      <c r="J45" s="10">
        <v>-6.1678360889866388</v>
      </c>
      <c r="K45" s="10">
        <v>-2.1417323726915254</v>
      </c>
      <c r="L45" s="10">
        <v>0.1</v>
      </c>
      <c r="M45" s="10">
        <v>3.164017285362843</v>
      </c>
    </row>
    <row r="46" spans="2:13">
      <c r="B46" s="10">
        <v>0.79999999999999993</v>
      </c>
      <c r="C46" s="10">
        <v>4.8078254219033267</v>
      </c>
      <c r="E46" s="10">
        <v>31.199350922624223</v>
      </c>
      <c r="F46" s="10">
        <v>29.126538642484263</v>
      </c>
      <c r="G46" s="10">
        <v>12.529300394490001</v>
      </c>
      <c r="H46" s="10">
        <v>-21.417323726915253</v>
      </c>
      <c r="I46" s="10">
        <v>4.8131322205498268</v>
      </c>
      <c r="J46" s="10">
        <v>-4.8131322205498268</v>
      </c>
      <c r="K46" s="10">
        <v>-1.8504669862666827</v>
      </c>
      <c r="L46" s="10">
        <v>0.1</v>
      </c>
      <c r="M46" s="10">
        <v>2.9126538642484263</v>
      </c>
    </row>
    <row r="47" spans="2:13">
      <c r="B47" s="10">
        <v>0.89999999999999991</v>
      </c>
      <c r="C47" s="10">
        <v>3.7507346196835307</v>
      </c>
      <c r="E47" s="10">
        <v>23.393329810029574</v>
      </c>
      <c r="F47" s="10">
        <v>26.067264622068578</v>
      </c>
      <c r="G47" s="10">
        <v>10.678833408223317</v>
      </c>
      <c r="H47" s="10">
        <v>-18.504669862666827</v>
      </c>
      <c r="I47" s="10">
        <v>3.7559755866179425</v>
      </c>
      <c r="J47" s="10">
        <v>-3.7559755866179425</v>
      </c>
      <c r="K47" s="10">
        <v>-1.5897943400459971</v>
      </c>
      <c r="L47" s="10">
        <v>0.1</v>
      </c>
      <c r="M47" s="10">
        <v>2.6067264622068578</v>
      </c>
    </row>
    <row r="48" spans="2:13">
      <c r="B48" s="10">
        <v>0.99999999999999989</v>
      </c>
      <c r="C48" s="10">
        <v>2.9259639852383872</v>
      </c>
      <c r="E48" s="10">
        <v>15.771398636404536</v>
      </c>
      <c r="F48" s="10">
        <v>22.921251154421</v>
      </c>
      <c r="G48" s="10">
        <v>9.0890390681773212</v>
      </c>
      <c r="H48" s="10">
        <v>-15.897943400459969</v>
      </c>
      <c r="I48" s="10">
        <v>2.9310128957268597</v>
      </c>
      <c r="J48" s="10">
        <v>-2.9310128957268597</v>
      </c>
      <c r="K48" s="10">
        <v>-1.360581828501787</v>
      </c>
      <c r="L48" s="10">
        <v>0.1</v>
      </c>
      <c r="M48" s="10">
        <v>2.2921251154421003</v>
      </c>
    </row>
    <row r="49" spans="2:13">
      <c r="B49" s="10">
        <v>1.0999999999999999</v>
      </c>
      <c r="C49" s="10">
        <v>2.2824779838967939</v>
      </c>
      <c r="E49" s="10">
        <v>8.8227949056977426</v>
      </c>
      <c r="F49" s="10">
        <v>19.925121834146871</v>
      </c>
      <c r="G49" s="10">
        <v>7.7284572396755342</v>
      </c>
      <c r="H49" s="10">
        <v>-13.605818285017868</v>
      </c>
      <c r="I49" s="10">
        <v>2.287245057056599</v>
      </c>
      <c r="J49" s="10">
        <v>-2.287245057056599</v>
      </c>
      <c r="K49" s="10">
        <v>-1.161330610160318</v>
      </c>
      <c r="L49" s="10">
        <v>0.1</v>
      </c>
      <c r="M49" s="10">
        <v>1.9925121834146873</v>
      </c>
    </row>
    <row r="50" spans="2:13">
      <c r="B50" s="10">
        <v>1.2</v>
      </c>
      <c r="C50" s="10">
        <v>1.7804475687789223</v>
      </c>
      <c r="E50" s="10">
        <v>2.8758590644710007</v>
      </c>
      <c r="F50" s="10">
        <v>17.188911313088909</v>
      </c>
      <c r="G50" s="10">
        <v>6.567126629515216</v>
      </c>
      <c r="H50" s="10">
        <v>-11.613306101603181</v>
      </c>
      <c r="I50" s="10">
        <v>1.7848744229876512</v>
      </c>
      <c r="J50" s="10">
        <v>-1.7848744229876512</v>
      </c>
      <c r="K50" s="10">
        <v>-0.98944149702942896</v>
      </c>
      <c r="L50" s="10">
        <v>0.1</v>
      </c>
      <c r="M50" s="10">
        <v>1.718891131308891</v>
      </c>
    </row>
    <row r="51" spans="2:13">
      <c r="B51" s="10">
        <v>1.3</v>
      </c>
      <c r="C51" s="10">
        <v>1.3887905083989469</v>
      </c>
      <c r="E51" s="10">
        <v>1.8874313053232565</v>
      </c>
      <c r="F51" s="10">
        <v>14.752082052747134</v>
      </c>
      <c r="G51" s="10">
        <v>5.5776851324857866</v>
      </c>
      <c r="H51" s="10">
        <v>-9.8944149702942887</v>
      </c>
      <c r="I51" s="10">
        <v>1.3928445034810575</v>
      </c>
      <c r="J51" s="10">
        <v>-1.3928445034810575</v>
      </c>
      <c r="K51" s="10">
        <v>-0.84192067650195757</v>
      </c>
      <c r="L51" s="10">
        <v>0.1</v>
      </c>
      <c r="M51" s="10">
        <v>1.4752082052747135</v>
      </c>
    </row>
    <row r="52" spans="2:13">
      <c r="B52" s="10">
        <v>1.4000000000000001</v>
      </c>
      <c r="C52" s="10">
        <v>1.0814508368082827</v>
      </c>
      <c r="E52" s="10">
        <v>5.4100930693725093</v>
      </c>
      <c r="G52" s="10">
        <v>4.735764455983829</v>
      </c>
      <c r="H52" s="10">
        <v>-8.4192067650195757</v>
      </c>
      <c r="L52" s="10">
        <v>0.1</v>
      </c>
    </row>
    <row r="53" spans="2:13">
      <c r="B53" s="10">
        <v>1.5000000000000002</v>
      </c>
      <c r="C53" s="10">
        <v>0.84374295781814324</v>
      </c>
      <c r="E53" s="10">
        <v>7.7350176112659499</v>
      </c>
      <c r="L53" s="10">
        <v>0.1</v>
      </c>
    </row>
    <row r="54" spans="2:13">
      <c r="B54" s="10">
        <v>1.6000000000000003</v>
      </c>
      <c r="C54" s="10">
        <v>0.65829745124324635</v>
      </c>
      <c r="E54" s="10">
        <v>8.9787263603637104</v>
      </c>
      <c r="L54" s="10">
        <v>0.1</v>
      </c>
    </row>
    <row r="55" spans="2:13">
      <c r="B55" s="10">
        <v>1.7000000000000004</v>
      </c>
      <c r="C55" s="10">
        <v>0.51362104878833204</v>
      </c>
      <c r="E55" s="10">
        <v>9.3060957096959722</v>
      </c>
      <c r="L55" s="10">
        <v>0.1</v>
      </c>
    </row>
    <row r="56" spans="2:13">
      <c r="B56" s="10">
        <v>1.8000000000000005</v>
      </c>
      <c r="C56" s="10">
        <v>0.40074865597760256</v>
      </c>
      <c r="E56" s="10">
        <v>8.907590127484422</v>
      </c>
      <c r="L56" s="10">
        <v>0.1</v>
      </c>
    </row>
    <row r="57" spans="2:13">
      <c r="B57" s="10">
        <v>1.9000000000000006</v>
      </c>
      <c r="C57" s="10">
        <v>0.31268709027459712</v>
      </c>
      <c r="E57" s="10">
        <v>7.9800089427409056</v>
      </c>
      <c r="L57" s="10">
        <v>0.1</v>
      </c>
    </row>
    <row r="58" spans="2:13">
      <c r="B58" s="10">
        <v>2.0000000000000004</v>
      </c>
      <c r="C58" s="10">
        <v>0.24398124152721912</v>
      </c>
      <c r="E58" s="10">
        <v>6.7112729233935777</v>
      </c>
      <c r="L58" s="10">
        <v>0.1</v>
      </c>
    </row>
    <row r="59" spans="2:13">
      <c r="B59" s="10">
        <v>2.1000000000000005</v>
      </c>
      <c r="C59" s="10">
        <v>0.19037570523133132</v>
      </c>
      <c r="E59" s="10">
        <v>5.2693722672981931</v>
      </c>
      <c r="L59" s="10">
        <v>0.1</v>
      </c>
    </row>
    <row r="60" spans="2:13">
      <c r="B60" s="10">
        <v>2.2000000000000006</v>
      </c>
      <c r="C60" s="10">
        <v>0.14855087313642037</v>
      </c>
      <c r="E60" s="10">
        <v>3.795278802742998</v>
      </c>
      <c r="L60" s="10">
        <v>0.1</v>
      </c>
    </row>
    <row r="61" spans="2:13">
      <c r="B61" s="10">
        <v>2.3000000000000007</v>
      </c>
      <c r="C61" s="10">
        <v>0.11591709280221243</v>
      </c>
      <c r="E61" s="10">
        <v>2.3993943584903716</v>
      </c>
      <c r="L61" s="10">
        <v>0.1</v>
      </c>
    </row>
    <row r="62" spans="2:13">
      <c r="B62" s="10">
        <v>2.4000000000000008</v>
      </c>
      <c r="C62" s="10">
        <v>9.0454115776598176E-2</v>
      </c>
      <c r="E62" s="10">
        <v>1.160960045991992</v>
      </c>
      <c r="L62" s="10">
        <v>0.1</v>
      </c>
    </row>
    <row r="63" spans="2:13">
      <c r="B63" s="10">
        <v>2.5000000000000009</v>
      </c>
      <c r="C63" s="10">
        <v>7.0585867578584441E-2</v>
      </c>
      <c r="E63" s="10">
        <v>0.12977840947812505</v>
      </c>
      <c r="L63" s="10">
        <v>0.1</v>
      </c>
    </row>
    <row r="64" spans="2:13">
      <c r="B64" s="10">
        <v>2.600000000000001</v>
      </c>
      <c r="C64" s="10">
        <v>5.5082766650124702E-2</v>
      </c>
      <c r="E64" s="10">
        <v>0.67041020250605765</v>
      </c>
      <c r="L64" s="10">
        <v>0.1</v>
      </c>
    </row>
    <row r="65" spans="2:12">
      <c r="B65" s="10">
        <v>2.7000000000000011</v>
      </c>
      <c r="C65" s="10">
        <v>4.2985530342340622E-2</v>
      </c>
      <c r="E65" s="10">
        <v>1.2375178439745553</v>
      </c>
      <c r="L65" s="10">
        <v>0.1</v>
      </c>
    </row>
    <row r="66" spans="2:12">
      <c r="B66" s="10">
        <v>2.8000000000000012</v>
      </c>
      <c r="C66" s="10">
        <v>3.3545740217397153E-2</v>
      </c>
      <c r="E66" s="10">
        <v>1.5862141820405107</v>
      </c>
      <c r="L66" s="10">
        <v>0.1</v>
      </c>
    </row>
    <row r="67" spans="2:12">
      <c r="B67" s="10">
        <v>2.9000000000000012</v>
      </c>
      <c r="C67" s="10">
        <v>2.6179479432087364E-2</v>
      </c>
      <c r="E67" s="10">
        <v>1.7430013241873079</v>
      </c>
      <c r="L67" s="10">
        <v>0.1</v>
      </c>
    </row>
    <row r="68" spans="2:12">
      <c r="B68" s="10">
        <v>3.0000000000000013</v>
      </c>
      <c r="C68" s="10">
        <v>2.0431166404811775E-2</v>
      </c>
      <c r="E68" s="10">
        <v>1.7416091651973038</v>
      </c>
      <c r="L68" s="10">
        <v>0.1</v>
      </c>
    </row>
    <row r="69" spans="2:12">
      <c r="B69" s="10">
        <v>3.1000000000000014</v>
      </c>
      <c r="C69" s="10">
        <v>1.5945341788915945E-2</v>
      </c>
      <c r="E69" s="10">
        <v>1.6189580928414948</v>
      </c>
      <c r="L69" s="10">
        <v>0.1</v>
      </c>
    </row>
    <row r="70" spans="2:12">
      <c r="B70" s="10">
        <v>3.2000000000000015</v>
      </c>
      <c r="C70" s="10">
        <v>1.2444659308967387E-2</v>
      </c>
      <c r="E70" s="10">
        <v>1.411838821031971</v>
      </c>
      <c r="L70" s="10">
        <v>0.1</v>
      </c>
    </row>
    <row r="71" spans="2:12">
      <c r="B71" s="10">
        <v>3.3000000000000016</v>
      </c>
      <c r="C71" s="10">
        <v>9.7127159282196073E-3</v>
      </c>
      <c r="E71" s="10">
        <v>1.1543741906877638</v>
      </c>
      <c r="L71" s="10">
        <v>0.1</v>
      </c>
    </row>
    <row r="72" spans="2:12">
      <c r="B72" s="10">
        <v>3.4000000000000017</v>
      </c>
      <c r="C72" s="10">
        <v>7.5806570178558689E-3</v>
      </c>
      <c r="E72" s="10">
        <v>0.87625809440659452</v>
      </c>
      <c r="L72" s="10">
        <v>0.1</v>
      </c>
    </row>
    <row r="73" spans="2:12">
      <c r="B73" s="10">
        <v>3.5000000000000018</v>
      </c>
      <c r="C73" s="10">
        <v>5.9167263386800941E-3</v>
      </c>
      <c r="E73" s="10">
        <v>0.60171355709105501</v>
      </c>
      <c r="L73" s="10">
        <v>0.1</v>
      </c>
    </row>
    <row r="74" spans="2:12">
      <c r="B74" s="10">
        <v>3.6000000000000019</v>
      </c>
      <c r="C74" s="10">
        <v>4.6181132649811361E-3</v>
      </c>
      <c r="E74" s="10">
        <v>0.34907529444958141</v>
      </c>
      <c r="L74" s="10">
        <v>0.1</v>
      </c>
    </row>
    <row r="75" spans="2:12">
      <c r="B75" s="10">
        <v>3.700000000000002</v>
      </c>
      <c r="C75" s="10">
        <v>3.6045921180500907E-3</v>
      </c>
      <c r="E75" s="10">
        <v>0.1308805165325857</v>
      </c>
      <c r="L75" s="10">
        <v>0.1</v>
      </c>
    </row>
    <row r="76" spans="2:12">
      <c r="B76" s="10">
        <v>3.800000000000002</v>
      </c>
      <c r="C76" s="10">
        <v>2.8135595765095642E-3</v>
      </c>
      <c r="E76" s="10">
        <v>4.5656679177160674E-2</v>
      </c>
      <c r="L76" s="10">
        <v>0.1</v>
      </c>
    </row>
    <row r="77" spans="2:12">
      <c r="B77" s="10">
        <v>3.9000000000000021</v>
      </c>
      <c r="C77" s="10">
        <v>2.1961627887136402E-3</v>
      </c>
      <c r="E77" s="10">
        <v>0.17790974021165723</v>
      </c>
      <c r="L77" s="10">
        <v>0.1</v>
      </c>
    </row>
    <row r="78" spans="2:12">
      <c r="B78" s="10">
        <v>4.0000000000000018</v>
      </c>
      <c r="C78" s="10">
        <v>1.7142784074182273E-3</v>
      </c>
      <c r="E78" s="10">
        <v>0.26695506746787789</v>
      </c>
      <c r="L78" s="10">
        <v>0.1</v>
      </c>
    </row>
    <row r="79" spans="2:12">
      <c r="B79" s="10">
        <v>4.1000000000000014</v>
      </c>
      <c r="C79" s="10">
        <v>1.3381554932935678E-3</v>
      </c>
      <c r="E79" s="10">
        <v>0.31663484536913999</v>
      </c>
      <c r="L79" s="10">
        <v>0.1</v>
      </c>
    </row>
    <row r="80" spans="2:12">
      <c r="B80" s="10">
        <v>4.2000000000000011</v>
      </c>
      <c r="C80" s="10">
        <v>1.0445763630500386E-3</v>
      </c>
      <c r="E80" s="10">
        <v>0.3326449582336729</v>
      </c>
      <c r="L80" s="10">
        <v>0.1</v>
      </c>
    </row>
    <row r="81" spans="2:12">
      <c r="B81" s="10">
        <v>4.3000000000000007</v>
      </c>
      <c r="C81" s="10">
        <v>8.154215414149774E-4</v>
      </c>
      <c r="E81" s="10">
        <v>0.3217058261508392</v>
      </c>
      <c r="L81" s="10">
        <v>0.1</v>
      </c>
    </row>
    <row r="82" spans="2:12">
      <c r="B82" s="10">
        <v>4.4000000000000004</v>
      </c>
      <c r="C82" s="10">
        <v>6.3655000390074794E-4</v>
      </c>
      <c r="E82" s="10">
        <v>0.29085474174617931</v>
      </c>
      <c r="L82" s="10">
        <v>0.1</v>
      </c>
    </row>
    <row r="83" spans="2:12">
      <c r="B83" s="10">
        <v>4.5</v>
      </c>
      <c r="C83" s="10">
        <v>4.9692542132846566E-4</v>
      </c>
      <c r="E83" s="10">
        <v>0.24688082563527267</v>
      </c>
      <c r="L83" s="10">
        <v>0.1</v>
      </c>
    </row>
    <row r="84" spans="2:12">
      <c r="B84" s="10">
        <v>4.5999999999999996</v>
      </c>
      <c r="C84" s="10">
        <v>3.8793434799945487E-4</v>
      </c>
      <c r="E84" s="10">
        <v>0.19590884595405089</v>
      </c>
      <c r="L84" s="10">
        <v>0.1</v>
      </c>
    </row>
    <row r="85" spans="2:12">
      <c r="B85" s="10">
        <v>4.6999999999999993</v>
      </c>
      <c r="C85" s="10">
        <v>3.028541774742365E-4</v>
      </c>
      <c r="E85" s="10">
        <v>0.14312630115491071</v>
      </c>
      <c r="L85" s="10">
        <v>0.1</v>
      </c>
    </row>
    <row r="86" spans="2:12">
      <c r="B86" s="10">
        <v>4.7999999999999989</v>
      </c>
      <c r="C86" s="10">
        <v>2.3643795963308281E-4</v>
      </c>
      <c r="E86" s="10">
        <v>9.2639467780816442E-2</v>
      </c>
      <c r="L86" s="10">
        <v>0.1</v>
      </c>
    </row>
    <row r="87" spans="2:12">
      <c r="B87" s="10">
        <v>4.8999999999999986</v>
      </c>
      <c r="C87" s="10">
        <v>1.8459040454061058E-4</v>
      </c>
      <c r="E87" s="10">
        <v>4.7438440347213548E-2</v>
      </c>
      <c r="L87" s="10">
        <v>0.1</v>
      </c>
    </row>
    <row r="88" spans="2:12">
      <c r="B88" s="10">
        <v>4.9999999999999982</v>
      </c>
      <c r="C88" s="10">
        <v>1.4411504073883591E-4</v>
      </c>
      <c r="E88" s="10">
        <v>9.448231208765985E-3</v>
      </c>
      <c r="L88" s="10">
        <v>0.1</v>
      </c>
    </row>
    <row r="89" spans="2:12">
      <c r="B89" s="10">
        <v>5.0999999999999979</v>
      </c>
      <c r="C89" s="10">
        <v>1.1251689750334819E-4</v>
      </c>
      <c r="E89" s="10">
        <v>2.0357671160274187E-2</v>
      </c>
      <c r="L89" s="10">
        <v>0.1</v>
      </c>
    </row>
    <row r="90" spans="2:12">
      <c r="B90" s="10">
        <v>5.1999999999999975</v>
      </c>
      <c r="C90" s="10">
        <v>8.7848514990884657E-5</v>
      </c>
      <c r="E90" s="10">
        <v>4.1803753005090358E-2</v>
      </c>
      <c r="L90" s="10">
        <v>0.1</v>
      </c>
    </row>
    <row r="91" spans="2:12">
      <c r="B91" s="10">
        <v>5.2999999999999972</v>
      </c>
      <c r="C91" s="10">
        <v>6.8589765791879931E-5</v>
      </c>
      <c r="E91" s="10">
        <v>5.5338964266141571E-2</v>
      </c>
      <c r="L91" s="10">
        <v>0.1</v>
      </c>
    </row>
    <row r="92" spans="2:12">
      <c r="B92" s="10">
        <v>5.3999999999999968</v>
      </c>
      <c r="C92" s="10">
        <v>5.3554062111221564E-5</v>
      </c>
      <c r="E92" s="10">
        <v>6.1860005625302264E-2</v>
      </c>
      <c r="L92" s="10">
        <v>0.1</v>
      </c>
    </row>
    <row r="93" spans="2:12">
      <c r="B93" s="10">
        <v>5.4999999999999964</v>
      </c>
      <c r="C93" s="10">
        <v>4.1815154080332801E-5</v>
      </c>
      <c r="E93" s="10">
        <v>6.2544495472036263E-2</v>
      </c>
      <c r="L93" s="10">
        <v>0.1</v>
      </c>
    </row>
    <row r="94" spans="2:12">
      <c r="B94" s="10">
        <v>5.5999999999999961</v>
      </c>
      <c r="C94" s="10">
        <v>3.2649997537952481E-5</v>
      </c>
      <c r="E94" s="10">
        <v>5.8703363538166187E-2</v>
      </c>
      <c r="L94" s="10">
        <v>0.1</v>
      </c>
    </row>
    <row r="95" spans="2:12">
      <c r="B95" s="10">
        <v>5.6999999999999957</v>
      </c>
      <c r="C95" s="10">
        <v>2.5494162787511519E-5</v>
      </c>
      <c r="E95" s="10">
        <v>5.1658299854660958E-2</v>
      </c>
      <c r="L95" s="10">
        <v>0.1</v>
      </c>
    </row>
    <row r="96" spans="2:12">
      <c r="B96" s="10">
        <v>5.7999999999999954</v>
      </c>
      <c r="C96" s="10">
        <v>1.9907030808126684E-5</v>
      </c>
      <c r="E96" s="10">
        <v>4.2646981677815388E-2</v>
      </c>
      <c r="L96" s="10">
        <v>0.1</v>
      </c>
    </row>
    <row r="97" spans="2:12">
      <c r="B97" s="10">
        <v>5.899999999999995</v>
      </c>
      <c r="C97" s="10">
        <v>1.5544628115156416E-5</v>
      </c>
      <c r="E97" s="10">
        <v>3.275622801588516E-2</v>
      </c>
      <c r="L97" s="10">
        <v>0.1</v>
      </c>
    </row>
    <row r="98" spans="2:12">
      <c r="B98" s="10">
        <v>5.9999999999999947</v>
      </c>
      <c r="C98" s="10">
        <v>1.2138423345975513E-5</v>
      </c>
      <c r="E98" s="10">
        <v>2.2881246907964472E-2</v>
      </c>
      <c r="L98" s="10">
        <v>0.1</v>
      </c>
    </row>
    <row r="99" spans="2:12">
      <c r="B99" s="10">
        <v>6.0999999999999943</v>
      </c>
      <c r="C99" s="10">
        <v>9.4787768753189967E-6</v>
      </c>
      <c r="E99" s="10">
        <v>1.3707746194671248E-2</v>
      </c>
      <c r="L99" s="10">
        <v>0.1</v>
      </c>
    </row>
    <row r="100" spans="2:12">
      <c r="B100" s="10">
        <v>6.199999999999994</v>
      </c>
      <c r="C100" s="10">
        <v>7.402022115414534E-6</v>
      </c>
      <c r="E100" s="10">
        <v>5.7128341558644767E-3</v>
      </c>
      <c r="L100" s="10">
        <v>0.1</v>
      </c>
    </row>
    <row r="101" spans="2:12">
      <c r="B101" s="10">
        <v>6.2999999999999936</v>
      </c>
      <c r="C101" s="10">
        <v>5.7803813976083974E-6</v>
      </c>
      <c r="E101" s="10">
        <v>8.1972702802422923E-4</v>
      </c>
      <c r="L101" s="10">
        <v>0.1</v>
      </c>
    </row>
    <row r="102" spans="2:12">
      <c r="B102" s="10">
        <v>6.3999999999999932</v>
      </c>
      <c r="C102" s="10">
        <v>4.5140943281239593E-6</v>
      </c>
      <c r="E102" s="10">
        <v>5.7743210981887373E-3</v>
      </c>
      <c r="L102" s="10">
        <v>0.1</v>
      </c>
    </row>
    <row r="103" spans="2:12">
      <c r="B103" s="10">
        <v>6.4999999999999929</v>
      </c>
      <c r="C103" s="10">
        <v>3.525273078448827E-6</v>
      </c>
      <c r="E103" s="10">
        <v>9.1724056022872112E-3</v>
      </c>
      <c r="L103" s="10">
        <v>0.1</v>
      </c>
    </row>
    <row r="104" spans="2:12">
      <c r="B104" s="10">
        <v>6.5999999999999925</v>
      </c>
      <c r="C104" s="10">
        <v>2.2859784892204899E-6</v>
      </c>
      <c r="E104" s="10">
        <v>1.1139103960909445E-2</v>
      </c>
      <c r="L104" s="10">
        <v>0.1</v>
      </c>
    </row>
    <row r="105" spans="2:12">
      <c r="B105" s="10">
        <v>6.6999999999999922</v>
      </c>
      <c r="C105" s="10">
        <v>1.7778913190064359E-6</v>
      </c>
      <c r="E105" s="10">
        <v>1.1870337712375445E-2</v>
      </c>
      <c r="L105" s="10">
        <v>0.1</v>
      </c>
    </row>
    <row r="106" spans="2:12">
      <c r="B106" s="10">
        <v>6.7999999999999918</v>
      </c>
      <c r="C106" s="10">
        <v>1.3827026576763788E-6</v>
      </c>
      <c r="E106" s="10">
        <v>1.160266770740573E-2</v>
      </c>
      <c r="L106" s="10">
        <v>0.1</v>
      </c>
    </row>
    <row r="107" spans="2:12">
      <c r="B107" s="10">
        <v>6.8999999999999915</v>
      </c>
      <c r="C107" s="10">
        <v>1.0753327622281898E-6</v>
      </c>
      <c r="E107" s="10">
        <v>1.0587319034338452E-2</v>
      </c>
      <c r="L107" s="10">
        <v>0.1</v>
      </c>
    </row>
    <row r="108" spans="2:12">
      <c r="B108" s="10">
        <v>6.9999999999999911</v>
      </c>
      <c r="C108" s="10">
        <v>8.3627174347934148E-7</v>
      </c>
      <c r="E108" s="10">
        <v>9.0692290661345317E-3</v>
      </c>
      <c r="L108" s="10">
        <v>0.1</v>
      </c>
    </row>
    <row r="109" spans="2:12">
      <c r="B109" s="10">
        <v>7.0999999999999908</v>
      </c>
      <c r="C109" s="10">
        <v>3.0099164799708145E-5</v>
      </c>
      <c r="E109" s="10">
        <v>7.2714119473502462E-3</v>
      </c>
      <c r="L109" s="10">
        <v>0.1</v>
      </c>
    </row>
    <row r="110" spans="2:12">
      <c r="B110" s="10">
        <v>7.1999999999999904</v>
      </c>
      <c r="C110" s="10">
        <v>2.4785679858882143E-5</v>
      </c>
      <c r="E110" s="10">
        <v>5.3844934119959085E-3</v>
      </c>
      <c r="L110" s="10">
        <v>0.1</v>
      </c>
    </row>
    <row r="111" spans="2:12">
      <c r="B111" s="10">
        <v>7.2999999999999901</v>
      </c>
      <c r="C111" s="10">
        <v>2.0411339045653926E-5</v>
      </c>
      <c r="E111" s="10">
        <v>3.5609428919736717E-3</v>
      </c>
      <c r="L111" s="10">
        <v>0.1</v>
      </c>
    </row>
    <row r="112" spans="2:12">
      <c r="B112" s="10">
        <v>7.3999999999999897</v>
      </c>
      <c r="C112" s="10">
        <v>1.6809940264996137E-5</v>
      </c>
      <c r="E112" s="10">
        <v>1.9133120754923627E-3</v>
      </c>
      <c r="L112" s="10">
        <v>0.1</v>
      </c>
    </row>
    <row r="113" spans="2:12">
      <c r="B113" s="10">
        <v>7.4999999999999893</v>
      </c>
      <c r="C113" s="10">
        <v>1.3844733467464951E-5</v>
      </c>
      <c r="E113" s="10">
        <v>5.156702052577048E-4</v>
      </c>
      <c r="L113" s="10">
        <v>0.1</v>
      </c>
    </row>
    <row r="114" spans="2:12">
      <c r="B114" s="10">
        <v>7.599999999999989</v>
      </c>
      <c r="C114" s="10">
        <v>1.1403194379392704E-5</v>
      </c>
      <c r="E114" s="10">
        <v>8.6563164075722643</v>
      </c>
      <c r="L114" s="10">
        <v>0.1</v>
      </c>
    </row>
    <row r="115" spans="2:12">
      <c r="B115" s="10">
        <v>7.6999999999999886</v>
      </c>
      <c r="C115" s="10">
        <v>9.3927269587284175E-6</v>
      </c>
      <c r="E115" s="10">
        <v>4.4719883534016258</v>
      </c>
      <c r="L115" s="10">
        <v>0.1</v>
      </c>
    </row>
    <row r="116" spans="2:12">
      <c r="B116" s="10">
        <v>7.7999999999999883</v>
      </c>
      <c r="C116" s="10">
        <v>7.7371292954500575E-6</v>
      </c>
      <c r="E116" s="10">
        <v>0.13677774532940057</v>
      </c>
      <c r="L116" s="10">
        <v>0.1</v>
      </c>
    </row>
    <row r="117" spans="2:12">
      <c r="B117" s="10">
        <v>7.8999999999999879</v>
      </c>
      <c r="C117" s="10">
        <v>6.3736871345050813E-6</v>
      </c>
      <c r="E117" s="10">
        <v>4.0058706848789951</v>
      </c>
      <c r="L117" s="10">
        <v>0.1</v>
      </c>
    </row>
    <row r="118" spans="2:12">
      <c r="B118" s="10">
        <v>7.9999999999999876</v>
      </c>
      <c r="C118" s="10">
        <v>5.2507833994092035E-6</v>
      </c>
      <c r="E118" s="10">
        <v>7.6435492562834151</v>
      </c>
      <c r="L118" s="10">
        <v>0.1</v>
      </c>
    </row>
    <row r="119" spans="2:12">
      <c r="B119" s="10">
        <v>8.0999999999999872</v>
      </c>
      <c r="C119" s="10">
        <v>4.3259319762295064E-6</v>
      </c>
      <c r="E119" s="10">
        <v>10.517672782147976</v>
      </c>
      <c r="L119" s="10">
        <v>0.1</v>
      </c>
    </row>
    <row r="120" spans="2:12">
      <c r="B120" s="10">
        <v>8.1999999999999869</v>
      </c>
      <c r="C120" s="10">
        <v>3.5641603525851751E-6</v>
      </c>
      <c r="E120" s="10">
        <v>12.44102000334729</v>
      </c>
      <c r="L120" s="10">
        <v>0.1</v>
      </c>
    </row>
    <row r="121" spans="2:12">
      <c r="B121" s="10">
        <v>8.2999999999999865</v>
      </c>
      <c r="C121" s="10">
        <v>2.9366791282138905E-6</v>
      </c>
      <c r="E121" s="10">
        <v>13.308915720875609</v>
      </c>
      <c r="L121" s="10">
        <v>0.1</v>
      </c>
    </row>
    <row r="122" spans="2:12">
      <c r="B122" s="10">
        <v>8.3999999999999861</v>
      </c>
      <c r="C122" s="10">
        <v>2.4197874428651816E-6</v>
      </c>
      <c r="E122" s="10">
        <v>13.103484030677258</v>
      </c>
      <c r="L122" s="10">
        <v>0.1</v>
      </c>
    </row>
    <row r="123" spans="2:12">
      <c r="B123" s="10">
        <v>8.4999999999999858</v>
      </c>
      <c r="C123" s="10">
        <v>1.9939724310044083E-6</v>
      </c>
      <c r="E123" s="10">
        <v>11.890967379139761</v>
      </c>
      <c r="L123" s="10">
        <v>0.1</v>
      </c>
    </row>
    <row r="124" spans="2:12">
      <c r="B124" s="10">
        <v>8.5999999999999854</v>
      </c>
      <c r="C124" s="10">
        <v>1.6431682618538128E-6</v>
      </c>
      <c r="E124" s="10">
        <v>9.8126444352086537</v>
      </c>
      <c r="L124" s="10">
        <v>0.1</v>
      </c>
    </row>
    <row r="125" spans="2:12">
      <c r="B125" s="10">
        <v>8.6999999999999851</v>
      </c>
      <c r="C125" s="10">
        <v>1.3541464457570578E-6</v>
      </c>
      <c r="E125" s="10">
        <v>7.0703514699659751</v>
      </c>
      <c r="L125" s="10">
        <v>0.1</v>
      </c>
    </row>
    <row r="126" spans="2:12">
      <c r="B126" s="10">
        <v>8.7999999999999847</v>
      </c>
      <c r="C126" s="10">
        <v>1.1160141203424079E-6</v>
      </c>
      <c r="E126" s="10">
        <v>3.9079835678500694</v>
      </c>
      <c r="L126" s="10">
        <v>0.1</v>
      </c>
    </row>
    <row r="127" spans="2:12">
      <c r="B127" s="10">
        <v>8.8999999999999844</v>
      </c>
      <c r="C127" s="10">
        <v>9.1980116682009027E-7</v>
      </c>
      <c r="E127" s="10">
        <v>0.59059941957984807</v>
      </c>
      <c r="L127" s="10">
        <v>0.1</v>
      </c>
    </row>
    <row r="128" spans="2:12">
      <c r="B128" s="10">
        <v>8.999999999999984</v>
      </c>
      <c r="C128" s="10">
        <v>7.5812040761804819E-7</v>
      </c>
      <c r="E128" s="10">
        <v>2.6171367116168551</v>
      </c>
      <c r="L128" s="10">
        <v>0.1</v>
      </c>
    </row>
    <row r="129" spans="2:12">
      <c r="B129" s="10">
        <v>9.0999999999999837</v>
      </c>
      <c r="C129" s="10">
        <v>6.2488793257580389E-7</v>
      </c>
      <c r="E129" s="10">
        <v>5.4714720763405369</v>
      </c>
      <c r="L129" s="10">
        <v>0.1</v>
      </c>
    </row>
    <row r="130" spans="2:12">
      <c r="B130" s="10">
        <v>9.1999999999999833</v>
      </c>
      <c r="C130" s="10">
        <v>5.1509289981494122E-7</v>
      </c>
      <c r="E130" s="10">
        <v>7.7674984214124656</v>
      </c>
      <c r="L130" s="10">
        <v>0.1</v>
      </c>
    </row>
    <row r="131" spans="2:12">
      <c r="B131" s="10">
        <v>9.2999999999999829</v>
      </c>
      <c r="C131" s="10">
        <v>4.2460804770292559E-7</v>
      </c>
      <c r="E131" s="10">
        <v>9.3532305369900577</v>
      </c>
      <c r="L131" s="10">
        <v>0.1</v>
      </c>
    </row>
    <row r="132" spans="2:12">
      <c r="B132" s="10">
        <v>9.3999999999999826</v>
      </c>
      <c r="C132" s="10">
        <v>3.5003370875618652E-7</v>
      </c>
      <c r="E132" s="10">
        <v>10.138918642278158</v>
      </c>
      <c r="L132" s="10">
        <v>0.1</v>
      </c>
    </row>
    <row r="133" spans="2:12">
      <c r="B133" s="10">
        <v>9.4999999999999822</v>
      </c>
      <c r="C133" s="10">
        <v>2.8856939465345545E-7</v>
      </c>
      <c r="E133" s="10">
        <v>10.101095424211413</v>
      </c>
      <c r="L133" s="10">
        <v>0.1</v>
      </c>
    </row>
    <row r="134" spans="2:12">
      <c r="B134" s="10">
        <v>9.5999999999999819</v>
      </c>
      <c r="C134" s="10">
        <v>2.3790807286579725E-7</v>
      </c>
      <c r="E134" s="10">
        <v>9.2812904821007507</v>
      </c>
      <c r="L134" s="10">
        <v>0.1</v>
      </c>
    </row>
    <row r="135" spans="2:12">
      <c r="B135" s="10">
        <v>9.6999999999999815</v>
      </c>
      <c r="C135" s="10">
        <v>1.9614912012006311E-7</v>
      </c>
      <c r="E135" s="10">
        <v>7.7797618442896255</v>
      </c>
      <c r="L135" s="10">
        <v>0.1</v>
      </c>
    </row>
    <row r="136" spans="2:12">
      <c r="B136" s="10">
        <v>9.7999999999999812</v>
      </c>
      <c r="C136" s="10">
        <v>1.6172664917362545E-7</v>
      </c>
      <c r="E136" s="10">
        <v>5.744964465836758</v>
      </c>
      <c r="L136" s="10">
        <v>0.1</v>
      </c>
    </row>
    <row r="137" spans="2:12">
      <c r="B137" s="10">
        <v>9.8999999999999808</v>
      </c>
      <c r="C137" s="10">
        <v>1.3335049045977816E-7</v>
      </c>
      <c r="E137" s="10">
        <v>3.3597726488478195</v>
      </c>
      <c r="L137" s="10">
        <v>0.1</v>
      </c>
    </row>
    <row r="138" spans="2:12">
      <c r="B138" s="10">
        <v>9.9999999999999805</v>
      </c>
      <c r="C138" s="10">
        <v>1.0995759148143814E-7</v>
      </c>
      <c r="E138" s="10">
        <v>0.82567753334652838</v>
      </c>
      <c r="L138" s="10">
        <v>0.1</v>
      </c>
    </row>
    <row r="139" spans="2:12">
      <c r="B139" s="10">
        <v>10.09999999999998</v>
      </c>
      <c r="C139" s="10">
        <v>9.0671992813887453E-8</v>
      </c>
      <c r="E139" s="10">
        <v>1.6537193076464587</v>
      </c>
      <c r="L139" s="10">
        <v>0.1</v>
      </c>
    </row>
    <row r="140" spans="2:12">
      <c r="B140" s="10">
        <v>10.19999999999998</v>
      </c>
      <c r="C140" s="10">
        <v>7.4771865375830586E-8</v>
      </c>
      <c r="E140" s="10">
        <v>3.8886024310081742</v>
      </c>
      <c r="L140" s="10">
        <v>0.1</v>
      </c>
    </row>
    <row r="141" spans="2:12">
      <c r="B141" s="10">
        <v>10.299999999999979</v>
      </c>
      <c r="C141" s="10">
        <v>6.1662361698824058E-8</v>
      </c>
      <c r="E141" s="10">
        <v>5.7170243947469377</v>
      </c>
      <c r="L141" s="10">
        <v>0.1</v>
      </c>
    </row>
    <row r="142" spans="2:12">
      <c r="B142" s="10">
        <v>10.399999999999979</v>
      </c>
      <c r="C142" s="10">
        <v>5.0853254510899655E-8</v>
      </c>
      <c r="E142" s="10">
        <v>7.0161653584671617</v>
      </c>
      <c r="L142" s="10">
        <v>0.1</v>
      </c>
    </row>
    <row r="143" spans="2:12">
      <c r="B143" s="10">
        <v>10.499999999999979</v>
      </c>
      <c r="C143" s="10">
        <v>4.1940517473724834E-8</v>
      </c>
      <c r="E143" s="10">
        <v>7.7100290382591368</v>
      </c>
      <c r="L143" s="10">
        <v>0.1</v>
      </c>
    </row>
    <row r="144" spans="2:12">
      <c r="B144" s="10">
        <v>10.599999999999978</v>
      </c>
      <c r="C144" s="10">
        <v>3.4591152300536803E-8</v>
      </c>
      <c r="E144" s="10">
        <v>7.7731448935516383</v>
      </c>
      <c r="L144" s="10">
        <v>0.1</v>
      </c>
    </row>
    <row r="145" spans="2:12">
      <c r="B145" s="10">
        <v>10.699999999999978</v>
      </c>
      <c r="C145" s="10">
        <v>2.8530689431055066E-8</v>
      </c>
      <c r="E145" s="10">
        <v>7.2301764622356277</v>
      </c>
      <c r="L145" s="10">
        <v>0.1</v>
      </c>
    </row>
    <row r="146" spans="2:12">
      <c r="B146" s="10">
        <v>10.799999999999978</v>
      </c>
      <c r="C146" s="10">
        <v>2.3532890635014252E-8</v>
      </c>
      <c r="E146" s="10">
        <v>6.1516580970650852</v>
      </c>
      <c r="L146" s="10">
        <v>0.1</v>
      </c>
    </row>
    <row r="147" spans="2:12">
      <c r="B147" s="10">
        <v>10.899999999999977</v>
      </c>
      <c r="C147" s="10">
        <v>1.9411265211816953E-8</v>
      </c>
      <c r="E147" s="10">
        <v>4.6463723415007845</v>
      </c>
      <c r="L147" s="10">
        <v>0.1</v>
      </c>
    </row>
    <row r="148" spans="2:12">
      <c r="B148" s="10">
        <v>10.999999999999977</v>
      </c>
      <c r="C148" s="10">
        <v>1.6012080020307413E-8</v>
      </c>
      <c r="E148" s="10">
        <v>2.8511168327313539</v>
      </c>
      <c r="L148" s="10">
        <v>0.1</v>
      </c>
    </row>
    <row r="149" spans="2:12">
      <c r="B149" s="10">
        <v>11.099999999999977</v>
      </c>
      <c r="C149" s="10">
        <v>1.3208600017795123E-8</v>
      </c>
      <c r="E149" s="10">
        <v>0.91877707133756359</v>
      </c>
      <c r="L149" s="10">
        <v>0.1</v>
      </c>
    </row>
    <row r="150" spans="2:12">
      <c r="B150" s="10">
        <v>11.199999999999976</v>
      </c>
      <c r="C150" s="10">
        <v>1.089634245680156E-8</v>
      </c>
      <c r="E150" s="10">
        <v>0.99429009874913454</v>
      </c>
      <c r="L150" s="10">
        <v>0.1</v>
      </c>
    </row>
    <row r="151" spans="2:12">
      <c r="B151" s="10">
        <v>11.299999999999976</v>
      </c>
      <c r="C151" s="10">
        <v>8.9891661468615158E-9</v>
      </c>
      <c r="E151" s="10">
        <v>2.7405510668651192</v>
      </c>
      <c r="L151" s="10">
        <v>0.1</v>
      </c>
    </row>
    <row r="152" spans="2:12">
      <c r="B152" s="10">
        <v>11.399999999999975</v>
      </c>
      <c r="C152" s="10">
        <v>7.416048689580818E-9</v>
      </c>
      <c r="E152" s="10">
        <v>4.1923292282675106</v>
      </c>
      <c r="L152" s="10">
        <v>0.1</v>
      </c>
    </row>
    <row r="153" spans="2:12">
      <c r="B153" s="10">
        <v>11.499999999999975</v>
      </c>
      <c r="C153" s="10">
        <v>6.1184305332413958E-9</v>
      </c>
      <c r="E153" s="10">
        <v>5.2507809201915272</v>
      </c>
      <c r="L153" s="10">
        <v>0.1</v>
      </c>
    </row>
    <row r="154" spans="2:12">
      <c r="B154" s="10">
        <v>11.599999999999975</v>
      </c>
      <c r="C154" s="10">
        <v>5.0480260520992504E-9</v>
      </c>
      <c r="E154" s="10">
        <v>5.8522135122339574</v>
      </c>
      <c r="L154" s="10">
        <v>0.1</v>
      </c>
    </row>
    <row r="155" spans="2:12">
      <c r="B155" s="10">
        <v>11.699999999999974</v>
      </c>
      <c r="C155" s="10">
        <v>4.1650194445693177E-9</v>
      </c>
      <c r="E155" s="10">
        <v>5.9713799871111064</v>
      </c>
      <c r="L155" s="10">
        <v>0.1</v>
      </c>
    </row>
    <row r="156" spans="2:12">
      <c r="B156" s="10">
        <v>11.799999999999974</v>
      </c>
      <c r="C156" s="10">
        <v>3.4365777298983169E-9</v>
      </c>
      <c r="E156" s="10">
        <v>5.621636082336094</v>
      </c>
      <c r="L156" s="10">
        <v>0.1</v>
      </c>
    </row>
    <row r="157" spans="2:12">
      <c r="B157" s="10">
        <v>11.899999999999974</v>
      </c>
      <c r="C157" s="10">
        <v>2.8356250529971299E-9</v>
      </c>
      <c r="E157" s="10">
        <v>4.8520948399201451</v>
      </c>
      <c r="L157" s="10">
        <v>0.1</v>
      </c>
    </row>
    <row r="158" spans="2:12">
      <c r="B158" s="10">
        <v>11.999999999999973</v>
      </c>
      <c r="C158" s="10">
        <v>2.3398323331500126E-9</v>
      </c>
      <c r="E158" s="10">
        <v>3.7421400656197026</v>
      </c>
      <c r="L158" s="10">
        <v>0.1</v>
      </c>
    </row>
    <row r="159" spans="2:12">
      <c r="B159" s="10">
        <v>12.099999999999973</v>
      </c>
      <c r="C159" s="10">
        <v>1.930784385846749E-9</v>
      </c>
      <c r="E159" s="10">
        <v>2.393848181961737</v>
      </c>
      <c r="L159" s="10">
        <v>0.1</v>
      </c>
    </row>
    <row r="160" spans="2:12">
      <c r="B160" s="10">
        <v>12.199999999999973</v>
      </c>
      <c r="C160" s="10">
        <v>1.5932933138246625E-9</v>
      </c>
      <c r="E160" s="10">
        <v>0.92300449690709063</v>
      </c>
      <c r="L160" s="10">
        <v>0.1</v>
      </c>
    </row>
    <row r="161" spans="2:12">
      <c r="B161" s="10">
        <v>12.299999999999972</v>
      </c>
      <c r="C161" s="10">
        <v>1.3148324553382228E-9</v>
      </c>
      <c r="E161" s="10">
        <v>0.55052318050326521</v>
      </c>
      <c r="L161" s="10">
        <v>0.1</v>
      </c>
    </row>
    <row r="162" spans="2:12">
      <c r="B162" s="10">
        <v>12.399999999999972</v>
      </c>
      <c r="C162" s="10">
        <v>1.0850697019862103E-9</v>
      </c>
      <c r="E162" s="10">
        <v>1.9122765377694622</v>
      </c>
      <c r="L162" s="10">
        <v>0.1</v>
      </c>
    </row>
    <row r="163" spans="2:12">
      <c r="B163" s="10">
        <v>12.499999999999972</v>
      </c>
      <c r="C163" s="10">
        <v>8.9548272579521797E-10</v>
      </c>
      <c r="E163" s="10">
        <v>3.0618341741871618</v>
      </c>
      <c r="L163" s="10">
        <v>0.1</v>
      </c>
    </row>
    <row r="164" spans="2:12">
      <c r="B164" s="10">
        <v>12.599999999999971</v>
      </c>
      <c r="C164" s="10">
        <v>7.390417262185485E-10</v>
      </c>
      <c r="E164" s="10">
        <v>3.9199455434370227</v>
      </c>
      <c r="L164" s="10">
        <v>0.1</v>
      </c>
    </row>
    <row r="165" spans="2:12">
      <c r="B165" s="10">
        <v>12.699999999999971</v>
      </c>
      <c r="C165" s="10">
        <v>6.099478379850621E-10</v>
      </c>
      <c r="E165" s="10">
        <v>4.4336878869946332</v>
      </c>
      <c r="L165" s="10">
        <v>0.1</v>
      </c>
    </row>
    <row r="166" spans="2:12">
      <c r="B166" s="10">
        <v>12.799999999999971</v>
      </c>
      <c r="C166" s="10">
        <v>5.0341742562158623E-10</v>
      </c>
      <c r="E166" s="10">
        <v>4.5793386815406629</v>
      </c>
      <c r="L166" s="10">
        <v>0.1</v>
      </c>
    </row>
    <row r="167" spans="2:12">
      <c r="B167" s="10">
        <v>12.89999999999997</v>
      </c>
      <c r="C167" s="10">
        <v>4.1550420845741667E-10</v>
      </c>
      <c r="E167" s="10">
        <v>4.3628477894377857</v>
      </c>
      <c r="L167" s="10">
        <v>0.1</v>
      </c>
    </row>
    <row r="168" spans="2:12">
      <c r="B168" s="10">
        <v>12.99999999999997</v>
      </c>
      <c r="C168" s="10">
        <v>3.4295257563764069E-10</v>
      </c>
      <c r="E168" s="10">
        <v>3.8179851704616432</v>
      </c>
      <c r="L168" s="10">
        <v>0.1</v>
      </c>
    </row>
    <row r="169" spans="2:12">
      <c r="B169" s="10">
        <v>13.099999999999969</v>
      </c>
      <c r="C169" s="10">
        <v>2.8307661736065729E-10</v>
      </c>
      <c r="E169" s="10">
        <v>3.0024168133738938</v>
      </c>
      <c r="L169" s="10">
        <v>0.1</v>
      </c>
    </row>
    <row r="170" spans="2:12">
      <c r="B170" s="10">
        <v>13.199999999999969</v>
      </c>
      <c r="C170" s="10">
        <v>2.3366036006515945E-10</v>
      </c>
      <c r="E170" s="10">
        <v>1.9921104563215948</v>
      </c>
      <c r="L170" s="10">
        <v>0.1</v>
      </c>
    </row>
    <row r="171" spans="2:12">
      <c r="B171" s="10">
        <v>13.299999999999969</v>
      </c>
      <c r="C171" s="10">
        <v>1.9287548574340741E-10</v>
      </c>
      <c r="E171" s="10">
        <v>0.87458343842777941</v>
      </c>
      <c r="L171" s="10">
        <v>0.1</v>
      </c>
    </row>
    <row r="172" spans="2:12">
      <c r="B172" s="10">
        <v>13.399999999999968</v>
      </c>
      <c r="C172" s="10">
        <v>1.5921346870588993E-10</v>
      </c>
      <c r="E172" s="10">
        <v>0.25842914637928682</v>
      </c>
      <c r="L172" s="10">
        <v>0.1</v>
      </c>
    </row>
    <row r="173" spans="2:12">
      <c r="B173" s="10">
        <v>13.499999999999968</v>
      </c>
      <c r="C173" s="10">
        <v>1.3142960147975716E-10</v>
      </c>
      <c r="E173" s="10">
        <v>1.3182899395948899</v>
      </c>
      <c r="L173" s="10">
        <v>0.1</v>
      </c>
    </row>
    <row r="174" spans="2:12">
      <c r="B174" s="10">
        <v>13.599999999999968</v>
      </c>
      <c r="C174" s="10">
        <v>1.0849682528422614E-10</v>
      </c>
      <c r="E174" s="10">
        <v>2.2261916025751018</v>
      </c>
      <c r="L174" s="10">
        <v>0.1</v>
      </c>
    </row>
    <row r="175" spans="2:12">
      <c r="B175" s="10">
        <v>13.699999999999967</v>
      </c>
      <c r="C175" s="10">
        <v>8.956764632860911E-11</v>
      </c>
      <c r="E175" s="10">
        <v>2.9188108629737544</v>
      </c>
      <c r="L175" s="10">
        <v>0.1</v>
      </c>
    </row>
    <row r="176" spans="2:12">
      <c r="B176" s="10">
        <v>13.799999999999967</v>
      </c>
      <c r="C176" s="10">
        <v>7.3942720731379667E-11</v>
      </c>
      <c r="E176" s="10">
        <v>3.3524961528489334</v>
      </c>
      <c r="L176" s="10">
        <v>0.1</v>
      </c>
    </row>
    <row r="177" spans="2:12">
      <c r="B177" s="10">
        <v>13.899999999999967</v>
      </c>
      <c r="C177" s="10">
        <v>6.1044939457383424E-11</v>
      </c>
      <c r="E177" s="10">
        <v>3.5057326403074502</v>
      </c>
      <c r="L177" s="10">
        <v>0.1</v>
      </c>
    </row>
    <row r="178" spans="2:12">
      <c r="B178" s="10">
        <v>13.999999999999966</v>
      </c>
      <c r="C178" s="10">
        <v>5.0398049622661796E-11</v>
      </c>
      <c r="E178" s="10">
        <v>3.3797741223949411</v>
      </c>
      <c r="L178" s="10">
        <v>0.1</v>
      </c>
    </row>
    <row r="179" spans="2:12">
      <c r="B179" s="10">
        <v>14.099999999999966</v>
      </c>
      <c r="C179" s="10">
        <v>4.1609017492491311E-11</v>
      </c>
      <c r="E179" s="10">
        <v>2.9974786622851992</v>
      </c>
      <c r="L179" s="10">
        <v>0.1</v>
      </c>
    </row>
    <row r="180" spans="2:12">
      <c r="B180" s="10">
        <v>14.199999999999966</v>
      </c>
      <c r="C180" s="10">
        <v>3.4353477819015306E-11</v>
      </c>
      <c r="E180" s="10">
        <v>2.4005224985757829</v>
      </c>
      <c r="L180" s="10">
        <v>0.1</v>
      </c>
    </row>
    <row r="181" spans="2:12">
      <c r="B181" s="10">
        <v>14.299999999999965</v>
      </c>
      <c r="C181" s="10">
        <v>2.8363729039525708E-11</v>
      </c>
      <c r="E181" s="10">
        <v>1.645284406570144</v>
      </c>
      <c r="L181" s="10">
        <v>0.1</v>
      </c>
    </row>
    <row r="182" spans="2:12">
      <c r="B182" s="10">
        <v>14.399999999999965</v>
      </c>
      <c r="C182" s="10">
        <v>2.3418828578328609E-11</v>
      </c>
      <c r="E182" s="10">
        <v>0.79778215905618288</v>
      </c>
      <c r="L182" s="10">
        <v>0.1</v>
      </c>
    </row>
    <row r="183" spans="2:12">
      <c r="B183" s="10">
        <v>14.499999999999964</v>
      </c>
      <c r="C183" s="10">
        <v>1.933642060281432E-11</v>
      </c>
      <c r="E183" s="10">
        <v>7.1901603709603787E-2</v>
      </c>
      <c r="L183" s="10">
        <v>0.1</v>
      </c>
    </row>
    <row r="184" spans="2:12">
      <c r="B184" s="10">
        <v>14.599999999999964</v>
      </c>
      <c r="C184" s="10">
        <v>1.59659929945079E-11</v>
      </c>
      <c r="E184" s="10">
        <v>0.89524766289039193</v>
      </c>
      <c r="L184" s="10">
        <v>0.1</v>
      </c>
    </row>
    <row r="185" spans="2:12">
      <c r="B185" s="10">
        <v>14.699999999999964</v>
      </c>
      <c r="C185" s="10">
        <v>1.3183313412676987E-11</v>
      </c>
      <c r="E185" s="10">
        <v>1.6105434259000782</v>
      </c>
      <c r="L185" s="10">
        <v>0.1</v>
      </c>
    </row>
    <row r="186" spans="2:12">
      <c r="B186" s="10">
        <v>14.799999999999963</v>
      </c>
      <c r="C186" s="10">
        <v>1.0885838133324026E-11</v>
      </c>
      <c r="E186" s="10">
        <v>2.1673522689679059</v>
      </c>
      <c r="L186" s="10">
        <v>0.1</v>
      </c>
    </row>
    <row r="187" spans="2:12">
      <c r="B187" s="10">
        <v>14.899999999999963</v>
      </c>
      <c r="C187" s="10">
        <v>8.988923473808578E-12</v>
      </c>
      <c r="E187" s="10">
        <v>2.5298985045560296</v>
      </c>
      <c r="L187" s="10">
        <v>0.1</v>
      </c>
    </row>
    <row r="188" spans="2:12">
      <c r="B188" s="10">
        <v>14.999999999999963</v>
      </c>
      <c r="C188" s="10">
        <v>7.422699409756367E-12</v>
      </c>
      <c r="E188" s="10">
        <v>2.6791561510929793</v>
      </c>
      <c r="L188" s="10">
        <v>0.1</v>
      </c>
    </row>
    <row r="189" spans="2:12">
      <c r="B189" s="10">
        <v>15.099999999999962</v>
      </c>
      <c r="C189" s="10">
        <v>6.1294895666760929E-12</v>
      </c>
      <c r="E189" s="10">
        <v>2.6135401831132312</v>
      </c>
      <c r="L189" s="10">
        <v>0.1</v>
      </c>
    </row>
    <row r="190" spans="2:12">
      <c r="B190" s="10">
        <v>15.199999999999962</v>
      </c>
      <c r="C190" s="10">
        <v>5.0616820392741839E-12</v>
      </c>
      <c r="E190" s="10">
        <v>2.3482121234464417</v>
      </c>
      <c r="L190" s="10">
        <v>0.1</v>
      </c>
    </row>
    <row r="191" spans="2:12">
      <c r="B191" s="10">
        <v>15.299999999999962</v>
      </c>
      <c r="C191" s="10">
        <v>4.1799722116189833E-12</v>
      </c>
      <c r="E191" s="10">
        <v>1.9131187978112547</v>
      </c>
      <c r="L191" s="10">
        <v>0.1</v>
      </c>
    </row>
    <row r="192" spans="2:12">
      <c r="B192" s="10">
        <v>15.399999999999961</v>
      </c>
      <c r="C192" s="10">
        <v>3.4519125434055791E-12</v>
      </c>
      <c r="E192" s="10">
        <v>1.349975798736907</v>
      </c>
      <c r="L192" s="10">
        <v>0.1</v>
      </c>
    </row>
    <row r="193" spans="2:12">
      <c r="B193" s="10">
        <v>15.499999999999961</v>
      </c>
      <c r="C193" s="10">
        <v>2.8507156647745364E-12</v>
      </c>
      <c r="E193" s="10">
        <v>0.70847917241840497</v>
      </c>
      <c r="L193" s="10">
        <v>0.1</v>
      </c>
    </row>
    <row r="194" spans="2:12">
      <c r="B194" s="10">
        <v>15.599999999999961</v>
      </c>
      <c r="C194" s="10">
        <v>2.3542665075983731E-12</v>
      </c>
      <c r="E194" s="10">
        <v>4.2075437876536011E-2</v>
      </c>
      <c r="L194" s="10">
        <v>0.1</v>
      </c>
    </row>
    <row r="195" spans="2:12">
      <c r="B195" s="10">
        <v>15.69999999999996</v>
      </c>
      <c r="C195" s="10">
        <v>1.9443069438128244E-12</v>
      </c>
      <c r="E195" s="10">
        <v>0.59636115373315524</v>
      </c>
      <c r="L195" s="10">
        <v>0.1</v>
      </c>
    </row>
    <row r="196" spans="2:12">
      <c r="B196" s="10">
        <v>15.79999999999996</v>
      </c>
      <c r="C196" s="10">
        <v>1.6057627890009554E-12</v>
      </c>
      <c r="E196" s="10">
        <v>1.1586043664748746</v>
      </c>
      <c r="L196" s="10">
        <v>0.1</v>
      </c>
    </row>
    <row r="197" spans="2:12">
      <c r="B197" s="10">
        <v>15.899999999999959</v>
      </c>
      <c r="C197" s="10">
        <v>1.3261882993521541E-12</v>
      </c>
      <c r="E197" s="10">
        <v>1.6046000678754884</v>
      </c>
      <c r="L197" s="10">
        <v>0.1</v>
      </c>
    </row>
    <row r="198" spans="2:12">
      <c r="B198" s="10">
        <v>15.999999999999959</v>
      </c>
      <c r="C198" s="10">
        <v>1.0953076380369454E-12</v>
      </c>
      <c r="E198" s="10">
        <v>1.9051910746070873</v>
      </c>
      <c r="L198" s="10">
        <v>0.1</v>
      </c>
    </row>
    <row r="199" spans="2:12">
      <c r="B199" s="10">
        <v>16.099999999999959</v>
      </c>
      <c r="C199" s="10">
        <v>9.0463637438451916E-13</v>
      </c>
      <c r="E199" s="10">
        <v>2.0438687895102383</v>
      </c>
      <c r="L199" s="10">
        <v>0.1</v>
      </c>
    </row>
    <row r="200" spans="2:12">
      <c r="B200" s="10">
        <v>16.19999999999996</v>
      </c>
      <c r="C200" s="10">
        <v>7.4716903916213804E-13</v>
      </c>
      <c r="E200" s="10">
        <v>2.0174613292485097</v>
      </c>
      <c r="L200" s="10">
        <v>0.1</v>
      </c>
    </row>
    <row r="201" spans="2:12">
      <c r="B201" s="10">
        <v>16.299999999999962</v>
      </c>
      <c r="C201" s="10">
        <v>6.1712120154976214E-13</v>
      </c>
      <c r="E201" s="10">
        <v>1.8357545927203511</v>
      </c>
      <c r="L201" s="10">
        <v>0.1</v>
      </c>
    </row>
    <row r="202" spans="2:12">
      <c r="B202" s="10">
        <v>16.399999999999963</v>
      </c>
      <c r="C202" s="10">
        <v>5.0971654866018279E-13</v>
      </c>
      <c r="E202" s="10">
        <v>1.5201256809445698</v>
      </c>
      <c r="L202" s="10">
        <v>0.1</v>
      </c>
    </row>
    <row r="203" spans="2:12">
      <c r="B203" s="10">
        <v>16.499999999999964</v>
      </c>
      <c r="C203" s="10">
        <v>4.2101111139309126E-13</v>
      </c>
      <c r="E203" s="10">
        <v>1.1013409901184197</v>
      </c>
      <c r="L203" s="10">
        <v>0.1</v>
      </c>
    </row>
    <row r="204" spans="2:12">
      <c r="B204" s="10">
        <v>16.599999999999966</v>
      </c>
      <c r="C204" s="10">
        <v>3.477481526659814E-13</v>
      </c>
      <c r="E204" s="10">
        <v>0.61672897467133914</v>
      </c>
      <c r="L204" s="10">
        <v>0.1</v>
      </c>
    </row>
    <row r="205" spans="2:12">
      <c r="B205" s="10">
        <v>16.699999999999967</v>
      </c>
      <c r="C205" s="10">
        <v>2.8723836648093863E-13</v>
      </c>
      <c r="E205" s="10">
        <v>0.10697625537832497</v>
      </c>
      <c r="L205" s="10">
        <v>0.1</v>
      </c>
    </row>
    <row r="206" spans="2:12">
      <c r="B206" s="10">
        <v>16.799999999999969</v>
      </c>
      <c r="C206" s="10">
        <v>2.372609708093878E-13</v>
      </c>
      <c r="E206" s="10">
        <v>0.38718668181883381</v>
      </c>
      <c r="L206" s="10">
        <v>0.1</v>
      </c>
    </row>
    <row r="207" spans="2:12">
      <c r="B207" s="10">
        <v>16.89999999999997</v>
      </c>
      <c r="C207" s="10">
        <v>1.9598204851123715E-13</v>
      </c>
      <c r="E207" s="10">
        <v>0.8281478617887349</v>
      </c>
      <c r="L207" s="10">
        <v>0.1</v>
      </c>
    </row>
    <row r="208" spans="2:12">
      <c r="B208" s="10">
        <v>16.999999999999972</v>
      </c>
      <c r="C208" s="10">
        <v>1.6188712699979962E-13</v>
      </c>
      <c r="E208" s="10">
        <v>1.1841860191492444</v>
      </c>
      <c r="L208" s="10">
        <v>0.1</v>
      </c>
    </row>
    <row r="209" spans="2:12">
      <c r="B209" s="10">
        <v>17.099999999999973</v>
      </c>
      <c r="C209" s="10">
        <v>1.337255126737378E-13</v>
      </c>
      <c r="E209" s="10">
        <v>1.4316558085287683</v>
      </c>
      <c r="L209" s="10">
        <v>0.1</v>
      </c>
    </row>
    <row r="210" spans="2:12">
      <c r="B210" s="10">
        <v>17.199999999999974</v>
      </c>
      <c r="C210" s="10">
        <v>1.104643296961701E-13</v>
      </c>
      <c r="E210" s="10">
        <v>1.5564439833807768</v>
      </c>
      <c r="L210" s="10">
        <v>0.1</v>
      </c>
    </row>
    <row r="211" spans="2:12">
      <c r="B211" s="10">
        <v>17.299999999999976</v>
      </c>
      <c r="C211" s="10">
        <v>9.1250570543754149E-14</v>
      </c>
      <c r="E211" s="10">
        <v>1.5546177238867454</v>
      </c>
      <c r="L211" s="10">
        <v>0.1</v>
      </c>
    </row>
    <row r="212" spans="2:12">
      <c r="B212" s="10">
        <v>17.399999999999977</v>
      </c>
      <c r="C212" s="10">
        <v>7.5379761106042282E-14</v>
      </c>
      <c r="E212" s="10">
        <v>1.4322526704331964</v>
      </c>
      <c r="L212" s="10">
        <v>0.1</v>
      </c>
    </row>
    <row r="213" spans="2:12">
      <c r="B213" s="10">
        <v>17.499999999999979</v>
      </c>
      <c r="C213" s="10">
        <v>6.2270086904772245E-14</v>
      </c>
      <c r="E213" s="10">
        <v>1.204492449815121</v>
      </c>
      <c r="L213" s="10">
        <v>0.1</v>
      </c>
    </row>
    <row r="214" spans="2:12">
      <c r="B214" s="10">
        <v>17.59999999999998</v>
      </c>
      <c r="C214" s="10">
        <v>5.1441028232944533E-14</v>
      </c>
      <c r="E214" s="10">
        <v>0.89394868351778078</v>
      </c>
      <c r="L214" s="10">
        <v>0.1</v>
      </c>
    </row>
    <row r="215" spans="2:12">
      <c r="B215" s="10">
        <v>17.699999999999982</v>
      </c>
      <c r="C215" s="10">
        <v>4.2495718118291336E-14</v>
      </c>
      <c r="E215" s="10">
        <v>0.5285965321827909</v>
      </c>
      <c r="L215" s="10">
        <v>0.1</v>
      </c>
    </row>
    <row r="216" spans="2:12">
      <c r="B216" s="10">
        <v>17.799999999999983</v>
      </c>
      <c r="C216" s="10">
        <v>3.5106374129883813E-14</v>
      </c>
      <c r="E216" s="10">
        <v>0.13935270543070669</v>
      </c>
      <c r="L216" s="10">
        <v>0.1</v>
      </c>
    </row>
    <row r="217" spans="2:12">
      <c r="B217" s="10">
        <v>17.899999999999984</v>
      </c>
      <c r="C217" s="10">
        <v>2.9002268232610164E-14</v>
      </c>
      <c r="E217" s="10">
        <v>0.24246125661168871</v>
      </c>
      <c r="L217" s="10">
        <v>0.1</v>
      </c>
    </row>
    <row r="218" spans="2:12">
      <c r="B218" s="10">
        <v>17.999999999999986</v>
      </c>
      <c r="C218" s="10">
        <v>2.3959792330206029E-14</v>
      </c>
      <c r="E218" s="10">
        <v>0.58756822661016839</v>
      </c>
      <c r="L218" s="10">
        <v>0.1</v>
      </c>
    </row>
    <row r="219" spans="2:12">
      <c r="B219" s="10">
        <v>18.099999999999987</v>
      </c>
      <c r="C219" s="10">
        <v>1.9794254271409404E-14</v>
      </c>
      <c r="E219" s="10">
        <v>0.87091131847830328</v>
      </c>
      <c r="L219" s="10">
        <v>0.1</v>
      </c>
    </row>
    <row r="220" spans="2:12">
      <c r="B220" s="10">
        <v>18.199999999999989</v>
      </c>
      <c r="C220" s="10">
        <v>1.6353102771470868E-14</v>
      </c>
      <c r="E220" s="10">
        <v>1.0734002901458466</v>
      </c>
      <c r="L220" s="10">
        <v>0.1</v>
      </c>
    </row>
    <row r="221" spans="2:12">
      <c r="B221" s="10">
        <v>18.29999999999999</v>
      </c>
      <c r="C221" s="10">
        <v>1.3510332271315603E-14</v>
      </c>
      <c r="E221" s="10">
        <v>1.183113141013586</v>
      </c>
      <c r="L221" s="10">
        <v>0.1</v>
      </c>
    </row>
    <row r="222" spans="2:12">
      <c r="B222" s="10">
        <v>18.399999999999991</v>
      </c>
      <c r="C222" s="10">
        <v>1.1161862157704472E-14</v>
      </c>
      <c r="E222" s="10">
        <v>1.1958852038776608</v>
      </c>
      <c r="L222" s="10">
        <v>0.1</v>
      </c>
    </row>
    <row r="223" spans="2:12">
      <c r="B223" s="10">
        <v>18.499999999999993</v>
      </c>
      <c r="C223" s="10">
        <v>9.2217205997576463E-15</v>
      </c>
      <c r="E223" s="10">
        <v>1.1152687288911174</v>
      </c>
      <c r="L223" s="10">
        <v>0.1</v>
      </c>
    </row>
    <row r="224" spans="2:12">
      <c r="B224" s="10">
        <v>18.599999999999994</v>
      </c>
      <c r="C224" s="10">
        <v>7.6188928408872829E-15</v>
      </c>
      <c r="E224" s="10">
        <v>0.95189559813891877</v>
      </c>
      <c r="L224" s="10">
        <v>0.1</v>
      </c>
    </row>
    <row r="225" spans="2:12">
      <c r="B225" s="10">
        <v>18.699999999999996</v>
      </c>
      <c r="C225" s="10">
        <v>6.2947182106150561E-15</v>
      </c>
      <c r="E225" s="10">
        <v>0.72232059146391003</v>
      </c>
      <c r="L225" s="10">
        <v>0.1</v>
      </c>
    </row>
    <row r="226" spans="2:12">
      <c r="B226" s="10">
        <v>18.799999999999997</v>
      </c>
      <c r="C226" s="10">
        <v>5.2007402877765846E-15</v>
      </c>
      <c r="E226" s="10">
        <v>0.44745930033053671</v>
      </c>
      <c r="L226" s="10">
        <v>0.1</v>
      </c>
    </row>
    <row r="227" spans="2:12">
      <c r="B227" s="10">
        <v>18.899999999999999</v>
      </c>
      <c r="C227" s="10">
        <v>4.2969312979942493E-15</v>
      </c>
      <c r="E227" s="10">
        <v>0.15076089090320816</v>
      </c>
      <c r="L227" s="10">
        <v>0.1</v>
      </c>
    </row>
    <row r="228" spans="2:12">
      <c r="B228" s="10">
        <v>19</v>
      </c>
      <c r="C228" s="10">
        <v>3.5502255771987274E-15</v>
      </c>
      <c r="E228" s="10">
        <v>0.14373007986038003</v>
      </c>
      <c r="L228" s="10">
        <v>0.1</v>
      </c>
    </row>
    <row r="229" spans="2:12">
      <c r="B229" s="10">
        <v>19.100000000000001</v>
      </c>
      <c r="C229" s="10">
        <v>2.9333082855493515E-15</v>
      </c>
      <c r="E229" s="10">
        <v>0.41326720975874048</v>
      </c>
      <c r="L229" s="10">
        <v>0.1</v>
      </c>
    </row>
    <row r="230" spans="2:12">
      <c r="B230" s="10">
        <v>19.200000000000003</v>
      </c>
      <c r="C230" s="10">
        <v>2.4236149301953443E-15</v>
      </c>
      <c r="E230" s="10">
        <v>0.63810632842797232</v>
      </c>
      <c r="L230" s="10">
        <v>0.1</v>
      </c>
    </row>
    <row r="231" spans="2:12">
      <c r="B231" s="10">
        <v>19.300000000000004</v>
      </c>
      <c r="C231" s="10">
        <v>2.0025049958898051E-15</v>
      </c>
      <c r="E231" s="10">
        <v>0.8028967645361389</v>
      </c>
      <c r="L231" s="10">
        <v>0.1</v>
      </c>
    </row>
    <row r="232" spans="2:12">
      <c r="B232" s="10">
        <v>19.400000000000006</v>
      </c>
      <c r="C232" s="10">
        <v>1.6545793742915651E-15</v>
      </c>
      <c r="E232" s="10">
        <v>0.89766651345651727</v>
      </c>
      <c r="L232" s="10">
        <v>0.1</v>
      </c>
    </row>
    <row r="233" spans="2:12">
      <c r="B233" s="10">
        <v>19.500000000000007</v>
      </c>
      <c r="C233" s="10">
        <v>1.3671165609829576E-15</v>
      </c>
      <c r="E233" s="10">
        <v>0.91834389759623469</v>
      </c>
      <c r="L233" s="10">
        <v>0.1</v>
      </c>
    </row>
    <row r="234" spans="2:12">
      <c r="B234" s="10">
        <v>19.600000000000009</v>
      </c>
      <c r="C234" s="10">
        <v>1.1296069478965363E-15</v>
      </c>
      <c r="E234" s="10">
        <v>0.86679696605406487</v>
      </c>
      <c r="L234" s="10">
        <v>0.1</v>
      </c>
    </row>
    <row r="235" spans="2:12">
      <c r="B235" s="10">
        <v>19.70000000000001</v>
      </c>
      <c r="C235" s="10">
        <v>9.3336813824419832E-16</v>
      </c>
      <c r="E235" s="10">
        <v>0.75041017827890655</v>
      </c>
      <c r="L235" s="10">
        <v>0.1</v>
      </c>
    </row>
    <row r="236" spans="2:12">
      <c r="B236" s="10">
        <v>19.800000000000011</v>
      </c>
      <c r="C236" s="10">
        <v>7.7122718349037062E-16</v>
      </c>
      <c r="E236" s="10">
        <v>0.58125290302458399</v>
      </c>
      <c r="L236" s="10">
        <v>0.1</v>
      </c>
    </row>
    <row r="237" spans="2:12">
      <c r="B237" s="10">
        <v>19.900000000000013</v>
      </c>
      <c r="C237" s="10">
        <v>6.3725809665727998E-16</v>
      </c>
      <c r="E237" s="10">
        <v>0.37492337969124223</v>
      </c>
      <c r="L237" s="10">
        <v>0.1</v>
      </c>
    </row>
    <row r="238" spans="2:12">
      <c r="B238" s="10">
        <v>20.000000000000014</v>
      </c>
      <c r="C238" s="10">
        <v>5.2656502349491552E-16</v>
      </c>
      <c r="E238" s="10">
        <v>0.14917305012748031</v>
      </c>
      <c r="L238" s="10">
        <v>0.1</v>
      </c>
    </row>
    <row r="239" spans="2:12">
      <c r="G239" s="10">
        <v>6.1433625335828408E-11</v>
      </c>
      <c r="H239" s="10">
        <v>-8.9933428987299716E-11</v>
      </c>
    </row>
  </sheetData>
  <mergeCells count="6">
    <mergeCell ref="A2:C5"/>
    <mergeCell ref="A1:C1"/>
    <mergeCell ref="D14:D15"/>
    <mergeCell ref="D16:D17"/>
    <mergeCell ref="B14:C15"/>
    <mergeCell ref="B16:C17"/>
  </mergeCells>
  <phoneticPr fontId="1" type="noConversion"/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질량과 저항에 따른 진자의 진동 변화</vt:lpstr>
      <vt:lpstr>실의 길이와 저항에 따른 진자의 진동 변화</vt:lpstr>
    </vt:vector>
  </TitlesOfParts>
  <Company>Black Edition SP3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XP</dc:creator>
  <cp:lastModifiedBy>Windows XP</cp:lastModifiedBy>
  <dcterms:created xsi:type="dcterms:W3CDTF">2011-06-01T15:04:14Z</dcterms:created>
  <dcterms:modified xsi:type="dcterms:W3CDTF">2011-06-07T16:18:51Z</dcterms:modified>
</cp:coreProperties>
</file>